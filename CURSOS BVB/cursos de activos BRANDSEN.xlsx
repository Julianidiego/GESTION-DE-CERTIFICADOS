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lle" sheetId="1" r:id="rId4"/>
    <sheet state="visible" name="Hoja1" sheetId="2" r:id="rId5"/>
    <sheet state="visible" name="Hoja2" sheetId="3" r:id="rId6"/>
    <sheet state="visible" name="bajas" sheetId="4" r:id="rId7"/>
  </sheets>
  <definedNames>
    <definedName hidden="1" localSheetId="1" name="_xlnm._FilterDatabase">Hoja1!$A$4:$AQ$64</definedName>
    <definedName hidden="1" localSheetId="2" name="_xlnm._FilterDatabase">Hoja2!$A$1:$H$75</definedName>
  </definedNames>
  <calcPr/>
  <extLst>
    <ext uri="GoogleSheetsCustomDataVersion2">
      <go:sheetsCustomData xmlns:go="http://customooxmlschemas.google.com/" r:id="rId8" roundtripDataChecksum="Cb8XuOOyLqE+F4DpWgkzkc8Vz/xVjzpckDonzZRcHf4="/>
    </ext>
  </extLst>
</workbook>
</file>

<file path=xl/sharedStrings.xml><?xml version="1.0" encoding="utf-8"?>
<sst xmlns="http://schemas.openxmlformats.org/spreadsheetml/2006/main" count="892" uniqueCount="232">
  <si>
    <t>APELLIDO y NOMBRE</t>
  </si>
  <si>
    <t>Apuntalamiento</t>
  </si>
  <si>
    <t>Ayte. Jtra</t>
  </si>
  <si>
    <t>Int. Brec</t>
  </si>
  <si>
    <t>BREC</t>
  </si>
  <si>
    <t>CEM (virtual)</t>
  </si>
  <si>
    <t>CEMEC</t>
  </si>
  <si>
    <t>CEMI</t>
  </si>
  <si>
    <t>Comunicaciones</t>
  </si>
  <si>
    <t>Despacho y respuesta Operativa</t>
  </si>
  <si>
    <t xml:space="preserve">Dis. Eq. Extintores y mangueras para Incendios </t>
  </si>
  <si>
    <t>Dis. Suicida</t>
  </si>
  <si>
    <t>Dis. Eq. Inc. Ind</t>
  </si>
  <si>
    <t>Emerg. Radiologicas 2</t>
  </si>
  <si>
    <t>E.G (encuentro de genero)</t>
  </si>
  <si>
    <t>G. Incendios</t>
  </si>
  <si>
    <t>Gestión Administrativa</t>
  </si>
  <si>
    <t>Inc. Agro Industrias</t>
  </si>
  <si>
    <t>Inc. Est I</t>
  </si>
  <si>
    <t>Inc. Est II</t>
  </si>
  <si>
    <t>Inc. Forestales</t>
  </si>
  <si>
    <t>Inv. Incendios</t>
  </si>
  <si>
    <t>INC. INDUS</t>
  </si>
  <si>
    <t>Micaela Organizaciones (gobierno)</t>
  </si>
  <si>
    <t>Mat - Pel I</t>
  </si>
  <si>
    <t>Mat - Pel II</t>
  </si>
  <si>
    <t>Mat - Pel III</t>
  </si>
  <si>
    <t>Med. Aereos</t>
  </si>
  <si>
    <t>OB I</t>
  </si>
  <si>
    <t>OB II</t>
  </si>
  <si>
    <t>Pedagogia</t>
  </si>
  <si>
    <t>Perspectiva de genero</t>
  </si>
  <si>
    <t>Prot. Y Cer</t>
  </si>
  <si>
    <t>Psicologia</t>
  </si>
  <si>
    <t>R.E (riesgo Electrico)</t>
  </si>
  <si>
    <t>R.I.A (incendio de aeronaves)</t>
  </si>
  <si>
    <t>R.V.L</t>
  </si>
  <si>
    <t>RCC1</t>
  </si>
  <si>
    <t>RVP</t>
  </si>
  <si>
    <t>SCI</t>
  </si>
  <si>
    <t>Seg. Bom</t>
  </si>
  <si>
    <t>SEI-TCP</t>
  </si>
  <si>
    <t>SOC I</t>
  </si>
  <si>
    <t>SOC II</t>
  </si>
  <si>
    <t>RUBA</t>
  </si>
  <si>
    <t>Sum. Adm</t>
  </si>
  <si>
    <t>Usos aéreos</t>
  </si>
  <si>
    <t xml:space="preserve">ALDAZ , Roberto </t>
  </si>
  <si>
    <t>Bombero</t>
  </si>
  <si>
    <t>B</t>
  </si>
  <si>
    <t>ALFONSO, MARINA ALEJANDRA</t>
  </si>
  <si>
    <t>J</t>
  </si>
  <si>
    <t>ANCHORDOQUY CASTRO Eliana Vanina</t>
  </si>
  <si>
    <t>Sargento</t>
  </si>
  <si>
    <t>ANCHORDOQUY CASTRO, Rita Mabel</t>
  </si>
  <si>
    <t>Cabo</t>
  </si>
  <si>
    <t>ANTONINI, JUAN MANUEL</t>
  </si>
  <si>
    <t>ARANCIBIA, LUDMILA</t>
  </si>
  <si>
    <t>ARIAS FELICE Nicolas</t>
  </si>
  <si>
    <t>BORRAZ, DANIEL JESUS</t>
  </si>
  <si>
    <t>Cabo 1º</t>
  </si>
  <si>
    <t>BURGOS, RAUL JESUS</t>
  </si>
  <si>
    <t>Sargento 1°</t>
  </si>
  <si>
    <t>14/07/2025
Lezama</t>
  </si>
  <si>
    <t>Mandar</t>
  </si>
  <si>
    <t>CASTAÑEDA ANTONENA, CAMILA</t>
  </si>
  <si>
    <t>CASTAÑEDA, MARCOS DAVID</t>
  </si>
  <si>
    <t>CATALANO Tamara</t>
  </si>
  <si>
    <t>COIN, NESTOR FABIAN</t>
  </si>
  <si>
    <t>Sub Of Principal</t>
  </si>
  <si>
    <t>2016 - 2019</t>
  </si>
  <si>
    <t>COIN, NUMA LORENZO</t>
  </si>
  <si>
    <t>Oficial Ayudante</t>
  </si>
  <si>
    <t>DE FRANCO, MARISOL</t>
  </si>
  <si>
    <t>DIEGUEZ, MARIANO PABLO</t>
  </si>
  <si>
    <t>Comandante Mayor</t>
  </si>
  <si>
    <t>ELIZALDE Jairo</t>
  </si>
  <si>
    <t>ESCALONA RIVAS, VERONICA</t>
  </si>
  <si>
    <t>ESCOBAR, SERENA DAMARIS</t>
  </si>
  <si>
    <t>ESEIZA, CARLOS LUCAS</t>
  </si>
  <si>
    <t>ESEIZA, FEDERICO</t>
  </si>
  <si>
    <t>ESEIZA, MARIA SOLEDAD</t>
  </si>
  <si>
    <t>FALCONE, BERNABE</t>
  </si>
  <si>
    <t>Enviado</t>
  </si>
  <si>
    <t>FAVRET, DIEGO</t>
  </si>
  <si>
    <t>2000 y algo</t>
  </si>
  <si>
    <t>FELIPE, JUAN IGNACIO</t>
  </si>
  <si>
    <t>FORMULARI, MARCELO E</t>
  </si>
  <si>
    <t>Cabo 1°</t>
  </si>
  <si>
    <t>GARCIA, MARIANGELES</t>
  </si>
  <si>
    <t>GARCIA, MAXIMILIANO</t>
  </si>
  <si>
    <t>GUZMAN, Leonardo Guillermo</t>
  </si>
  <si>
    <t>IGARATEGUI Alan</t>
  </si>
  <si>
    <t>ILARRAGORRI, AGUSTIN PEDRO</t>
  </si>
  <si>
    <t>ILLARRA, LUCIANO MARTIN</t>
  </si>
  <si>
    <t>Suboficial Mayor</t>
  </si>
  <si>
    <t>ILLARRA, NICOLAS FERNANDO</t>
  </si>
  <si>
    <t>JORGENSEN Nancy</t>
  </si>
  <si>
    <t>JULIANI, DIEGO Hernan</t>
  </si>
  <si>
    <t xml:space="preserve">KÖLHN, Nicolás </t>
  </si>
  <si>
    <t>KORENHOF, Roberto</t>
  </si>
  <si>
    <t>2018 -2019</t>
  </si>
  <si>
    <t>LEGUIZAMON, Anabela</t>
  </si>
  <si>
    <t>LIFORENA NILDA</t>
  </si>
  <si>
    <t>LUIS SALAVERRI, SOL ARIANA</t>
  </si>
  <si>
    <t>MARADEO Maria sofia</t>
  </si>
  <si>
    <t>MARTINEZ CARLOS RAMIRO</t>
  </si>
  <si>
    <t>MIRANTES, NICOLAS</t>
  </si>
  <si>
    <t>MUÑOZ, LISANDRO ANGEL</t>
  </si>
  <si>
    <t>NUÑEZ, LAUTARO Damian</t>
  </si>
  <si>
    <t>OLIVIERI, ALEJANDRO NICOLAS</t>
  </si>
  <si>
    <t>ORTUÑO, Ivana Noemi</t>
  </si>
  <si>
    <t>?</t>
  </si>
  <si>
    <t>PACHECO MELISA Maité</t>
  </si>
  <si>
    <t>PACHECO Pedro Javier</t>
  </si>
  <si>
    <t>PANESSI Norberto Javier</t>
  </si>
  <si>
    <t>PETROSINO FERNANDEZ, IGNACIO</t>
  </si>
  <si>
    <t xml:space="preserve">2024 / Lezama </t>
  </si>
  <si>
    <t>PIÑEYRO JUAN Andres</t>
  </si>
  <si>
    <t>PUGLISI, DARIO DANIEL</t>
  </si>
  <si>
    <t>RAMALLO, Luciano Nicolas</t>
  </si>
  <si>
    <t>RAMIREZ Leandro</t>
  </si>
  <si>
    <t>RAMIREZ, TAMARA SAMANTA</t>
  </si>
  <si>
    <t>REVIL, Maria Ines</t>
  </si>
  <si>
    <t>RINCON, MARIO ALBERTO</t>
  </si>
  <si>
    <t>RIVAL, WALTER ALEJANDRO</t>
  </si>
  <si>
    <t>Of Ayudante</t>
  </si>
  <si>
    <t>SI</t>
  </si>
  <si>
    <t>SANCHEZ Juan Manuel</t>
  </si>
  <si>
    <t>TALLARICO Carlos Humberto</t>
  </si>
  <si>
    <t>TAUS JUAN ANTONIO</t>
  </si>
  <si>
    <t xml:space="preserve">TENREYRO, ORLANDO FEDERICO </t>
  </si>
  <si>
    <t>Oficial Principal</t>
  </si>
  <si>
    <t>TORRES, Fernando Alberto</t>
  </si>
  <si>
    <t>VARGAS, MELINA</t>
  </si>
  <si>
    <t>NO</t>
  </si>
  <si>
    <t>/</t>
  </si>
  <si>
    <t>R.C</t>
  </si>
  <si>
    <t>Inc. Estructurales</t>
  </si>
  <si>
    <t>Mat - Pel</t>
  </si>
  <si>
    <t>Seg. Bombero</t>
  </si>
  <si>
    <t>Socorrismo</t>
  </si>
  <si>
    <t>RVL</t>
  </si>
  <si>
    <t>R.E</t>
  </si>
  <si>
    <t>S. II</t>
  </si>
  <si>
    <t>RIA</t>
  </si>
  <si>
    <t>RC</t>
  </si>
  <si>
    <t>Ayte Jtra</t>
  </si>
  <si>
    <t>R.V</t>
  </si>
  <si>
    <t>Mat. Pel</t>
  </si>
  <si>
    <t xml:space="preserve">Disertación </t>
  </si>
  <si>
    <t>O.B 1</t>
  </si>
  <si>
    <t>Mat. Pel III</t>
  </si>
  <si>
    <t>Disertacion</t>
  </si>
  <si>
    <t>Inc. Est 1</t>
  </si>
  <si>
    <t>RCCR1</t>
  </si>
  <si>
    <t>R.I.A</t>
  </si>
  <si>
    <t>Soccorrismo</t>
  </si>
  <si>
    <t>28 y 29 de mayo 2016</t>
  </si>
  <si>
    <t>11 de junio 2016</t>
  </si>
  <si>
    <t>16 y 17 de Julio 2016</t>
  </si>
  <si>
    <t>18 de julio 2016</t>
  </si>
  <si>
    <t>30 de Julio 2016</t>
  </si>
  <si>
    <t>13 de Agosto 2016</t>
  </si>
  <si>
    <t>20 de Agosto 2016</t>
  </si>
  <si>
    <t>23 y 24 Septiembre 2016</t>
  </si>
  <si>
    <t>15 de Octubre 2016</t>
  </si>
  <si>
    <t>19 y 20 de noviembre 2016</t>
  </si>
  <si>
    <t>29 y 30 Abril</t>
  </si>
  <si>
    <t>24 y 25/6</t>
  </si>
  <si>
    <t>1 y 2/7</t>
  </si>
  <si>
    <t>8 Y 9/7</t>
  </si>
  <si>
    <t>ID</t>
  </si>
  <si>
    <t>Bro</t>
  </si>
  <si>
    <t>APELLIDO Y NOMBRE</t>
  </si>
  <si>
    <t>Chascomus</t>
  </si>
  <si>
    <t>Lezama</t>
  </si>
  <si>
    <t>Brandsen</t>
  </si>
  <si>
    <t>San Clemente</t>
  </si>
  <si>
    <t>Castelli</t>
  </si>
  <si>
    <t>Santa Teresita</t>
  </si>
  <si>
    <t>Alte. Brown</t>
  </si>
  <si>
    <t>Ranchos</t>
  </si>
  <si>
    <t>Loma Verde</t>
  </si>
  <si>
    <t>Gral. Las Heras</t>
  </si>
  <si>
    <t>Pila</t>
  </si>
  <si>
    <t>Santa teresita</t>
  </si>
  <si>
    <t>LEZAMA</t>
  </si>
  <si>
    <t>BRANDSEN</t>
  </si>
  <si>
    <t>PILA</t>
  </si>
  <si>
    <t>Quilmes</t>
  </si>
  <si>
    <t>Longchamps</t>
  </si>
  <si>
    <t>SAN CLEMENTE</t>
  </si>
  <si>
    <t>ANTONINI, NICOLAS JOAQUIN</t>
  </si>
  <si>
    <t>BETANZOS, FEDERICO ADRIAN</t>
  </si>
  <si>
    <t>CASTAÑEDA, MARCOS</t>
  </si>
  <si>
    <t>CASTILLO CAMILA</t>
  </si>
  <si>
    <t>DELUCHI, HECTOR EDUARDO</t>
  </si>
  <si>
    <t>FORMULARI, MARCELO E,</t>
  </si>
  <si>
    <t>GOMEZ LEIVA ROCIO</t>
  </si>
  <si>
    <t>GONZALEZ MIRIAM</t>
  </si>
  <si>
    <t>IBARRA JUAN NAZARIO</t>
  </si>
  <si>
    <t>ILLARRA, FERNANDO</t>
  </si>
  <si>
    <t>LANDA EVELYN ABIGAIL</t>
  </si>
  <si>
    <t>LESCANO MARÍA AZUL</t>
  </si>
  <si>
    <t>LOPEZ MONTERO, ALEJO MARTIN</t>
  </si>
  <si>
    <t>MENDEZ, DANIEL</t>
  </si>
  <si>
    <t xml:space="preserve">NUÑEZ CLAUDIA VANESA </t>
  </si>
  <si>
    <t>PAZOS, MARCELO</t>
  </si>
  <si>
    <t>PONCE ALICIA</t>
  </si>
  <si>
    <t>TIDONA, Roberto</t>
  </si>
  <si>
    <t>ZUBIRI, IGNACIO FABIAN</t>
  </si>
  <si>
    <t>V2022</t>
  </si>
  <si>
    <t>ALVAREZ, AGUSTIN</t>
  </si>
  <si>
    <t>Oficial Insector</t>
  </si>
  <si>
    <t>Sargento 1º</t>
  </si>
  <si>
    <t>Suboficial Principal</t>
  </si>
  <si>
    <t>Oficial Primero</t>
  </si>
  <si>
    <t>Cabo 1ero</t>
  </si>
  <si>
    <t>Comandante</t>
  </si>
  <si>
    <t>MATURANA TONONI, MARTIN</t>
  </si>
  <si>
    <t>MENDEZ, DANIEL FAUSTINO</t>
  </si>
  <si>
    <t>PONCE ALICIA ELIZABETH</t>
  </si>
  <si>
    <t>SUAREZ, JUAN IGNACIO</t>
  </si>
  <si>
    <t>Oficial insector</t>
  </si>
  <si>
    <t>VAZQUEZ, SERGIO</t>
  </si>
  <si>
    <t>E.G</t>
  </si>
  <si>
    <t>Soc I</t>
  </si>
  <si>
    <t>Oficial Inspector  ®</t>
  </si>
  <si>
    <t>2009 - 2011 - 2018</t>
  </si>
  <si>
    <t>2008 - 2014</t>
  </si>
  <si>
    <t>2008 - 2019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</si>
</sst>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-mmm-yy"/>
    <numFmt numFmtId="165" formatCode="D/M/YYYY"/>
    <numFmt numFmtId="166" formatCode="d-mmm-yyyy"/>
    <numFmt numFmtId="167" formatCode="mmmm\ yyyy"/>
    <numFmt numFmtId="168" formatCode="d mmmm yyyy"/>
    <numFmt numFmtId="169" formatCode="dd/mm/yyyy"/>
    <numFmt numFmtId="170" formatCode="d&quot; de &quot;mmmm yyyy"/>
    <numFmt numFmtId="171" formatCode="d -mmm-yyyy"/>
    <numFmt numFmtId="172" formatCode="d-mmmm-yyyy"/>
    <numFmt numFmtId="173" formatCode="d/m/yy"/>
  </numFmts>
  <fonts count="2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theme="1"/>
      <name val="Arial"/>
    </font>
    <font>
      <sz val="12.0"/>
      <color theme="1"/>
      <name val="Arial"/>
    </font>
    <font>
      <sz val="14.0"/>
      <color theme="1"/>
      <name val="Arial"/>
    </font>
    <font>
      <b/>
      <sz val="11.0"/>
      <color rgb="FFFF0000"/>
      <name val="Calibri"/>
    </font>
    <font>
      <b/>
      <sz val="14.0"/>
      <color theme="1"/>
      <name val="Arial"/>
    </font>
    <font>
      <b/>
      <u/>
      <sz val="11.0"/>
      <color rgb="FF0000FF"/>
      <name val="Calibri"/>
    </font>
    <font>
      <b/>
      <u/>
      <sz val="11.0"/>
      <color rgb="FF0563C1"/>
      <name val="Calibri"/>
    </font>
    <font>
      <b/>
      <u/>
      <sz val="11.0"/>
      <color rgb="FF0000FF"/>
      <name val="Calibri"/>
    </font>
    <font>
      <sz val="12.0"/>
      <color rgb="FFFF0000"/>
      <name val="Arial"/>
    </font>
    <font>
      <b/>
      <u/>
      <sz val="11.0"/>
      <color rgb="FF0563C1"/>
      <name val="Calibri"/>
    </font>
    <font>
      <b/>
      <u/>
      <sz val="11.0"/>
      <color rgb="FF0000FF"/>
      <name val="Calibri"/>
    </font>
    <font>
      <color theme="1"/>
      <name val="Calibri"/>
      <scheme val="minor"/>
    </font>
    <font>
      <b/>
      <sz val="12.0"/>
      <color theme="1"/>
      <name val="Calibri"/>
    </font>
    <font/>
    <font>
      <sz val="11.0"/>
      <color theme="1"/>
      <name val="Arial"/>
    </font>
    <font>
      <sz val="10.0"/>
      <color theme="1"/>
      <name val="Calibri"/>
    </font>
    <font>
      <sz val="10.0"/>
      <color theme="1"/>
      <name val="Arial"/>
    </font>
    <font>
      <b/>
      <sz val="11.0"/>
      <color theme="1"/>
      <name val="Arial"/>
    </font>
    <font>
      <sz val="16.0"/>
      <color theme="1"/>
      <name val="Arial"/>
    </font>
    <font>
      <sz val="12.0"/>
      <color theme="0"/>
      <name val="Arial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rgb="FF00CCFF"/>
        <bgColor rgb="FF00CCFF"/>
      </patternFill>
    </fill>
    <fill>
      <patternFill patternType="solid">
        <fgColor rgb="FF99CC00"/>
        <bgColor rgb="FF99CC00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/>
    </xf>
    <xf borderId="1" fillId="2" fontId="4" numFmtId="0" xfId="0" applyAlignment="1" applyBorder="1" applyFont="1">
      <alignment horizontal="left"/>
    </xf>
    <xf borderId="1" fillId="0" fontId="4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left"/>
    </xf>
    <xf borderId="1" fillId="0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" fillId="2" fontId="6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" fillId="0" fontId="4" numFmtId="0" xfId="0" applyAlignment="1" applyBorder="1" applyFont="1">
      <alignment horizontal="left"/>
    </xf>
    <xf borderId="1" fillId="0" fontId="8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/>
    </xf>
    <xf borderId="1" fillId="0" fontId="9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2" fontId="10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0" fontId="2" numFmtId="165" xfId="0" applyAlignment="1" applyBorder="1" applyFont="1" applyNumberFormat="1">
      <alignment horizontal="center"/>
    </xf>
    <xf borderId="1" fillId="0" fontId="2" numFmtId="166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 vertical="center"/>
    </xf>
    <xf borderId="1" fillId="2" fontId="5" numFmtId="0" xfId="0" applyAlignment="1" applyBorder="1" applyFont="1">
      <alignment horizontal="left"/>
    </xf>
    <xf borderId="1" fillId="0" fontId="2" numFmtId="167" xfId="0" applyAlignment="1" applyBorder="1" applyFont="1" applyNumberFormat="1">
      <alignment horizontal="center" readingOrder="0"/>
    </xf>
    <xf borderId="1" fillId="0" fontId="11" numFmtId="15" xfId="0" applyAlignment="1" applyBorder="1" applyFont="1" applyNumberFormat="1">
      <alignment horizontal="center"/>
    </xf>
    <xf borderId="1" fillId="0" fontId="4" numFmtId="15" xfId="0" applyAlignment="1" applyBorder="1" applyFont="1" applyNumberFormat="1">
      <alignment horizontal="center"/>
    </xf>
    <xf borderId="1" fillId="2" fontId="12" numFmtId="0" xfId="0" applyAlignment="1" applyBorder="1" applyFont="1">
      <alignment horizontal="center" readingOrder="0"/>
    </xf>
    <xf borderId="1" fillId="0" fontId="6" numFmtId="164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0" fontId="2" numFmtId="168" xfId="0" applyAlignment="1" applyBorder="1" applyFont="1" applyNumberFormat="1">
      <alignment horizontal="center" readingOrder="0"/>
    </xf>
    <xf borderId="1" fillId="2" fontId="4" numFmtId="0" xfId="0" applyAlignment="1" applyBorder="1" applyFont="1">
      <alignment horizontal="left" vertical="center"/>
    </xf>
    <xf borderId="1" fillId="2" fontId="2" numFmtId="165" xfId="0" applyAlignment="1" applyBorder="1" applyFont="1" applyNumberFormat="1">
      <alignment horizontal="center" shrinkToFit="0" wrapText="1"/>
    </xf>
    <xf borderId="1" fillId="0" fontId="2" numFmtId="169" xfId="0" applyAlignment="1" applyBorder="1" applyFont="1" applyNumberFormat="1">
      <alignment horizontal="center"/>
    </xf>
    <xf borderId="1" fillId="3" fontId="2" numFmtId="169" xfId="0" applyAlignment="1" applyBorder="1" applyFont="1" applyNumberFormat="1">
      <alignment horizontal="center"/>
    </xf>
    <xf borderId="1" fillId="0" fontId="2" numFmtId="165" xfId="0" applyAlignment="1" applyBorder="1" applyFont="1" applyNumberFormat="1">
      <alignment horizontal="center" readingOrder="0"/>
    </xf>
    <xf borderId="1" fillId="2" fontId="13" numFmtId="0" xfId="0" applyAlignment="1" applyBorder="1" applyFont="1">
      <alignment horizontal="center" readingOrder="0" shrinkToFit="0" wrapText="1"/>
    </xf>
    <xf borderId="1" fillId="2" fontId="2" numFmtId="164" xfId="0" applyAlignment="1" applyBorder="1" applyFont="1" applyNumberFormat="1">
      <alignment horizontal="center" readingOrder="0"/>
    </xf>
    <xf borderId="1" fillId="0" fontId="2" numFmtId="170" xfId="0" applyAlignment="1" applyBorder="1" applyFont="1" applyNumberFormat="1">
      <alignment horizontal="center" readingOrder="0"/>
    </xf>
    <xf borderId="1" fillId="0" fontId="2" numFmtId="171" xfId="0" applyAlignment="1" applyBorder="1" applyFont="1" applyNumberFormat="1">
      <alignment horizontal="center" readingOrder="0"/>
    </xf>
    <xf borderId="1" fillId="3" fontId="2" numFmtId="0" xfId="0" applyAlignment="1" applyBorder="1" applyFont="1">
      <alignment horizontal="center"/>
    </xf>
    <xf borderId="1" fillId="0" fontId="2" numFmtId="172" xfId="0" applyAlignment="1" applyBorder="1" applyFont="1" applyNumberFormat="1">
      <alignment horizontal="center" readingOrder="0"/>
    </xf>
    <xf borderId="1" fillId="2" fontId="2" numFmtId="173" xfId="0" applyAlignment="1" applyBorder="1" applyFont="1" applyNumberFormat="1">
      <alignment horizontal="center" readingOrder="0"/>
    </xf>
    <xf borderId="1" fillId="2" fontId="4" numFmtId="0" xfId="0" applyAlignment="1" applyBorder="1" applyFont="1">
      <alignment horizontal="center" shrinkToFit="0" vertical="center" wrapText="1"/>
    </xf>
    <xf borderId="0" fillId="0" fontId="1" numFmtId="0" xfId="0" applyFont="1"/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Border="1" applyFont="1"/>
    <xf borderId="0" fillId="0" fontId="14" numFmtId="0" xfId="0" applyAlignment="1" applyFont="1">
      <alignment readingOrder="0"/>
    </xf>
    <xf borderId="0" fillId="0" fontId="1" numFmtId="0" xfId="0" applyAlignment="1" applyFont="1">
      <alignment horizontal="center"/>
    </xf>
    <xf borderId="7" fillId="4" fontId="15" numFmtId="0" xfId="0" applyAlignment="1" applyBorder="1" applyFill="1" applyFont="1">
      <alignment horizontal="center"/>
    </xf>
    <xf borderId="8" fillId="0" fontId="16" numFmtId="0" xfId="0" applyBorder="1" applyFont="1"/>
    <xf borderId="9" fillId="0" fontId="16" numFmtId="0" xfId="0" applyBorder="1" applyFont="1"/>
    <xf borderId="7" fillId="5" fontId="2" numFmtId="0" xfId="0" applyAlignment="1" applyBorder="1" applyFill="1" applyFont="1">
      <alignment horizontal="center"/>
    </xf>
    <xf borderId="7" fillId="6" fontId="2" numFmtId="0" xfId="0" applyAlignment="1" applyBorder="1" applyFill="1" applyFont="1">
      <alignment horizontal="center"/>
    </xf>
    <xf borderId="0" fillId="0" fontId="1" numFmtId="165" xfId="0" applyAlignment="1" applyFont="1" applyNumberFormat="1">
      <alignment horizontal="center"/>
    </xf>
    <xf borderId="10" fillId="0" fontId="17" numFmtId="0" xfId="0" applyAlignment="1" applyBorder="1" applyFont="1">
      <alignment horizontal="center"/>
    </xf>
    <xf borderId="11" fillId="0" fontId="17" numFmtId="0" xfId="0" applyAlignment="1" applyBorder="1" applyFont="1">
      <alignment horizontal="center"/>
    </xf>
    <xf borderId="11" fillId="0" fontId="17" numFmtId="0" xfId="0" applyBorder="1" applyFont="1"/>
    <xf borderId="12" fillId="0" fontId="17" numFmtId="0" xfId="0" applyBorder="1" applyFont="1"/>
    <xf borderId="10" fillId="0" fontId="17" numFmtId="0" xfId="0" applyAlignment="1" applyBorder="1" applyFont="1">
      <alignment horizontal="center" vertical="center"/>
    </xf>
    <xf borderId="11" fillId="0" fontId="17" numFmtId="0" xfId="0" applyAlignment="1" applyBorder="1" applyFont="1">
      <alignment horizontal="center" vertical="center"/>
    </xf>
    <xf borderId="12" fillId="0" fontId="17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0" fillId="0" fontId="18" numFmtId="0" xfId="0" applyAlignment="1" applyFont="1">
      <alignment horizontal="center"/>
    </xf>
    <xf borderId="13" fillId="0" fontId="19" numFmtId="165" xfId="0" applyAlignment="1" applyBorder="1" applyFont="1" applyNumberFormat="1">
      <alignment horizontal="center"/>
    </xf>
    <xf borderId="1" fillId="0" fontId="19" numFmtId="165" xfId="0" applyAlignment="1" applyBorder="1" applyFont="1" applyNumberFormat="1">
      <alignment horizontal="center"/>
    </xf>
    <xf borderId="1" fillId="0" fontId="19" numFmtId="165" xfId="0" applyBorder="1" applyFont="1" applyNumberFormat="1"/>
    <xf borderId="14" fillId="0" fontId="19" numFmtId="165" xfId="0" applyBorder="1" applyFont="1" applyNumberFormat="1"/>
    <xf borderId="13" fillId="0" fontId="19" numFmtId="165" xfId="0" applyAlignment="1" applyBorder="1" applyFont="1" applyNumberFormat="1">
      <alignment horizontal="center" vertical="center"/>
    </xf>
    <xf borderId="1" fillId="0" fontId="19" numFmtId="165" xfId="0" applyAlignment="1" applyBorder="1" applyFont="1" applyNumberFormat="1">
      <alignment horizontal="center" vertical="center"/>
    </xf>
    <xf borderId="14" fillId="0" fontId="19" numFmtId="165" xfId="0" applyAlignment="1" applyBorder="1" applyFont="1" applyNumberFormat="1">
      <alignment horizontal="center" vertical="center"/>
    </xf>
    <xf borderId="15" fillId="7" fontId="3" numFmtId="0" xfId="0" applyAlignment="1" applyBorder="1" applyFill="1" applyFont="1">
      <alignment horizontal="center" vertical="center"/>
    </xf>
    <xf borderId="16" fillId="0" fontId="17" numFmtId="0" xfId="0" applyAlignment="1" applyBorder="1" applyFont="1">
      <alignment horizontal="center"/>
    </xf>
    <xf borderId="17" fillId="0" fontId="17" numFmtId="0" xfId="0" applyAlignment="1" applyBorder="1" applyFont="1">
      <alignment horizontal="center"/>
    </xf>
    <xf borderId="17" fillId="0" fontId="17" numFmtId="0" xfId="0" applyBorder="1" applyFont="1"/>
    <xf borderId="18" fillId="0" fontId="17" numFmtId="0" xfId="0" applyBorder="1" applyFont="1"/>
    <xf borderId="16" fillId="0" fontId="17" numFmtId="0" xfId="0" applyAlignment="1" applyBorder="1" applyFont="1">
      <alignment horizontal="center" vertical="center"/>
    </xf>
    <xf borderId="17" fillId="0" fontId="17" numFmtId="0" xfId="0" applyAlignment="1" applyBorder="1" applyFont="1">
      <alignment horizontal="center" vertical="center"/>
    </xf>
    <xf borderId="18" fillId="0" fontId="17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vertical="center"/>
    </xf>
    <xf borderId="17" fillId="0" fontId="4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/>
    </xf>
    <xf borderId="19" fillId="0" fontId="2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20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/>
    </xf>
    <xf borderId="1" fillId="0" fontId="21" numFmtId="0" xfId="0" applyAlignment="1" applyBorder="1" applyFont="1">
      <alignment horizontal="left" vertical="center"/>
    </xf>
    <xf borderId="21" fillId="0" fontId="2" numFmtId="0" xfId="0" applyAlignment="1" applyBorder="1" applyFont="1">
      <alignment horizontal="center"/>
    </xf>
    <xf borderId="22" fillId="0" fontId="2" numFmtId="0" xfId="0" applyAlignment="1" applyBorder="1" applyFont="1">
      <alignment horizontal="center"/>
    </xf>
    <xf borderId="0" fillId="0" fontId="5" numFmtId="0" xfId="0" applyFont="1"/>
    <xf borderId="23" fillId="0" fontId="7" numFmtId="0" xfId="0" applyAlignment="1" applyBorder="1" applyFont="1">
      <alignment horizontal="center"/>
    </xf>
    <xf borderId="24" fillId="0" fontId="7" numFmtId="0" xfId="0" applyAlignment="1" applyBorder="1" applyFont="1">
      <alignment horizontal="center"/>
    </xf>
    <xf borderId="25" fillId="0" fontId="7" numFmtId="0" xfId="0" applyAlignment="1" applyBorder="1" applyFont="1">
      <alignment horizontal="center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6" fillId="2" fontId="5" numFmtId="0" xfId="0" applyAlignment="1" applyBorder="1" applyFont="1">
      <alignment horizontal="center"/>
    </xf>
    <xf borderId="1" fillId="6" fontId="2" numFmtId="0" xfId="0" applyAlignment="1" applyBorder="1" applyFont="1">
      <alignment horizontal="center"/>
    </xf>
    <xf borderId="1" fillId="8" fontId="2" numFmtId="0" xfId="0" applyAlignment="1" applyBorder="1" applyFill="1" applyFont="1">
      <alignment horizontal="center"/>
    </xf>
    <xf borderId="1" fillId="2" fontId="5" numFmtId="0" xfId="0" applyAlignment="1" applyBorder="1" applyFont="1">
      <alignment horizontal="center"/>
    </xf>
    <xf borderId="1" fillId="9" fontId="4" numFmtId="0" xfId="0" applyAlignment="1" applyBorder="1" applyFill="1" applyFont="1">
      <alignment horizontal="left"/>
    </xf>
    <xf borderId="1" fillId="9" fontId="4" numFmtId="0" xfId="0" applyAlignment="1" applyBorder="1" applyFont="1">
      <alignment horizontal="center" shrinkToFit="0" vertical="center" wrapText="1"/>
    </xf>
    <xf borderId="1" fillId="9" fontId="5" numFmtId="0" xfId="0" applyAlignment="1" applyBorder="1" applyFont="1">
      <alignment horizontal="left"/>
    </xf>
    <xf borderId="6" fillId="9" fontId="5" numFmtId="0" xfId="0" applyAlignment="1" applyBorder="1" applyFont="1">
      <alignment horizontal="center"/>
    </xf>
    <xf borderId="1" fillId="2" fontId="5" numFmtId="0" xfId="0" applyAlignment="1" applyBorder="1" applyFont="1">
      <alignment horizontal="center" vertical="center"/>
    </xf>
    <xf borderId="1" fillId="6" fontId="4" numFmtId="0" xfId="0" applyAlignment="1" applyBorder="1" applyFont="1">
      <alignment horizontal="center" shrinkToFit="0" vertical="center" wrapText="1"/>
    </xf>
    <xf borderId="6" fillId="6" fontId="5" numFmtId="0" xfId="0" applyAlignment="1" applyBorder="1" applyFont="1">
      <alignment horizontal="center"/>
    </xf>
    <xf borderId="1" fillId="6" fontId="4" numFmtId="0" xfId="0" applyAlignment="1" applyBorder="1" applyFont="1">
      <alignment horizontal="left"/>
    </xf>
    <xf borderId="1" fillId="6" fontId="5" numFmtId="0" xfId="0" applyAlignment="1" applyBorder="1" applyFont="1">
      <alignment horizontal="center"/>
    </xf>
    <xf borderId="1" fillId="9" fontId="4" numFmtId="0" xfId="0" applyAlignment="1" applyBorder="1" applyFont="1">
      <alignment horizontal="left" vertical="center"/>
    </xf>
    <xf borderId="1" fillId="6" fontId="5" numFmtId="0" xfId="0" applyAlignment="1" applyBorder="1" applyFont="1">
      <alignment horizontal="left" vertical="center"/>
    </xf>
    <xf borderId="1" fillId="2" fontId="7" numFmtId="0" xfId="0" applyAlignment="1" applyBorder="1" applyFont="1">
      <alignment horizontal="center"/>
    </xf>
    <xf borderId="3" fillId="2" fontId="3" numFmtId="0" xfId="0" applyAlignment="1" applyBorder="1" applyFont="1">
      <alignment horizontal="center" vertical="center"/>
    </xf>
    <xf borderId="6" fillId="2" fontId="4" numFmtId="0" xfId="0" applyAlignment="1" applyBorder="1" applyFont="1">
      <alignment horizontal="center"/>
    </xf>
    <xf borderId="4" fillId="2" fontId="1" numFmtId="0" xfId="0" applyBorder="1" applyFont="1"/>
    <xf borderId="1" fillId="2" fontId="5" numFmtId="0" xfId="0" applyAlignment="1" applyBorder="1" applyFont="1">
      <alignment horizontal="left" vertical="center"/>
    </xf>
    <xf borderId="1" fillId="2" fontId="2" numFmtId="0" xfId="0" applyAlignment="1" applyBorder="1" applyFont="1">
      <alignment horizontal="left"/>
    </xf>
    <xf borderId="1" fillId="2" fontId="22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LU1OkCs07qe6TEWnd9PJ5hBc8TYjwyH-/view?usp=drive_link" TargetMode="External"/><Relationship Id="rId20" Type="http://schemas.openxmlformats.org/officeDocument/2006/relationships/hyperlink" Target="https://drive.google.com/file/d/1MSmn71h-XO-pjyUh0yVvOIj4OEJWZxOH/view?usp=drive_link" TargetMode="External"/><Relationship Id="rId42" Type="http://schemas.openxmlformats.org/officeDocument/2006/relationships/hyperlink" Target="https://drive.google.com/file/d/1PuOHxaiH3Zg2GQJkF7F9sCCmUgO2TR6X/view?usp=drive_link" TargetMode="External"/><Relationship Id="rId41" Type="http://schemas.openxmlformats.org/officeDocument/2006/relationships/hyperlink" Target="https://drive.google.com/file/d/1r6Sod6OM8grTwieFWO7f9TOOJjGiU-o1/view?usp=drive_link" TargetMode="External"/><Relationship Id="rId22" Type="http://schemas.openxmlformats.org/officeDocument/2006/relationships/hyperlink" Target="https://drive.google.com/file/d/1TlCxXfJomp0NPOWkXGzYsJqZEQQyXI7j/view?usp=drive_link" TargetMode="External"/><Relationship Id="rId44" Type="http://schemas.openxmlformats.org/officeDocument/2006/relationships/hyperlink" Target="https://drive.google.com/file/d/1qJCb7cPsHsdAepIhb2PhpKX97WQMkDT2/view?usp=drive_link" TargetMode="External"/><Relationship Id="rId21" Type="http://schemas.openxmlformats.org/officeDocument/2006/relationships/hyperlink" Target="https://drive.google.com/file/d/1TieiKB3UjhBmPN2qwwmCryXthU-E9R_d/view?usp=drive_link" TargetMode="External"/><Relationship Id="rId43" Type="http://schemas.openxmlformats.org/officeDocument/2006/relationships/hyperlink" Target="https://drive.google.com/file/d/14BBAPYuWauqFvDYZD-iAF-EvSFmnToOQ/view?usp=drive_link" TargetMode="External"/><Relationship Id="rId24" Type="http://schemas.openxmlformats.org/officeDocument/2006/relationships/hyperlink" Target="https://drive.google.com/file/d/10eMlpErEX30OqlI5e3tZ6wNWxaEn-rdQ/view?usp=drive_link" TargetMode="External"/><Relationship Id="rId46" Type="http://schemas.openxmlformats.org/officeDocument/2006/relationships/hyperlink" Target="https://drive.google.com/file/d/1HDQae0snhdB0QJ8saw8bRamBFkdJ0WPz/view?usp=drive_link" TargetMode="External"/><Relationship Id="rId23" Type="http://schemas.openxmlformats.org/officeDocument/2006/relationships/hyperlink" Target="https://drive.google.com/file/d/1TueO0kK-92HmSBnOPPoxkz5iljUJglDd/view?usp=drive_link" TargetMode="External"/><Relationship Id="rId45" Type="http://schemas.openxmlformats.org/officeDocument/2006/relationships/hyperlink" Target="https://drive.google.com/file/d/1Wfu_eFo0NXyDPeC0hJ7NUpOuX7dvon3E/view?usp=drive_link" TargetMode="External"/><Relationship Id="rId1" Type="http://schemas.openxmlformats.org/officeDocument/2006/relationships/hyperlink" Target="https://drive.google.com/file/d/18fykgTu2XnYzmHfFnaCmrdsU7tU3nkJP/view?usp=drive_link" TargetMode="External"/><Relationship Id="rId2" Type="http://schemas.openxmlformats.org/officeDocument/2006/relationships/hyperlink" Target="https://drive.google.com/file/d/1TzS4jWECkSSf8mcUdNmivdVB3jPfoAEH/view?usp=drive_link" TargetMode="External"/><Relationship Id="rId3" Type="http://schemas.openxmlformats.org/officeDocument/2006/relationships/hyperlink" Target="https://drive.google.com/file/d/1e1hncp1GGDEKwPUdz28ejtoObUCKhr6s/view?usp=drive_link" TargetMode="External"/><Relationship Id="rId4" Type="http://schemas.openxmlformats.org/officeDocument/2006/relationships/hyperlink" Target="https://drive.google.com/file/d/18CiZ0P5S6u8kPGgfIonJ8gUwz9Cw3ptc/view?usp=drive_link" TargetMode="External"/><Relationship Id="rId9" Type="http://schemas.openxmlformats.org/officeDocument/2006/relationships/hyperlink" Target="https://drive.google.com/file/d/18FWblFAFGev-Ejv_eEqDa8C0yDtGhp0T/view?usp=drive_link" TargetMode="External"/><Relationship Id="rId26" Type="http://schemas.openxmlformats.org/officeDocument/2006/relationships/hyperlink" Target="https://drive.google.com/file/d/170mhpq8wFYdhrUoqye1aP4BCpG-Z0hiq/view?usp=drive_link" TargetMode="External"/><Relationship Id="rId48" Type="http://schemas.openxmlformats.org/officeDocument/2006/relationships/drawing" Target="../drawings/drawing1.xml"/><Relationship Id="rId25" Type="http://schemas.openxmlformats.org/officeDocument/2006/relationships/hyperlink" Target="https://drive.google.com/file/d/1lNCl1IGmKybfvlWIhUg638wvfXGti_Rx/view?usp=drive_link" TargetMode="External"/><Relationship Id="rId47" Type="http://schemas.openxmlformats.org/officeDocument/2006/relationships/hyperlink" Target="https://drive.google.com/file/d/18oNuYXWZEf3yeOQXyB9wIKYZuHk6_-Kl/view?usp=drive_link" TargetMode="External"/><Relationship Id="rId28" Type="http://schemas.openxmlformats.org/officeDocument/2006/relationships/hyperlink" Target="https://drive.google.com/file/d/1nnxtMNiXXE-yQvjh-DcEC-QLDdVbwC8C/view?usp=drive_link" TargetMode="External"/><Relationship Id="rId27" Type="http://schemas.openxmlformats.org/officeDocument/2006/relationships/hyperlink" Target="https://drive.google.com/file/d/170mhpq8wFYdhrUoqye1aP4BCpG-Z0hiq/view?usp=drive_link" TargetMode="External"/><Relationship Id="rId5" Type="http://schemas.openxmlformats.org/officeDocument/2006/relationships/hyperlink" Target="https://drive.google.com/file/d/1TXOPJCN_PMGSHkO90EGBTPwxM96z2bkJ/view?usp=drive_link" TargetMode="External"/><Relationship Id="rId6" Type="http://schemas.openxmlformats.org/officeDocument/2006/relationships/hyperlink" Target="https://drive.google.com/file/d/1Y7Ks1HoPfMGE1GR61HIdtVuFMl2VxxVG/view?usp=drive_link" TargetMode="External"/><Relationship Id="rId29" Type="http://schemas.openxmlformats.org/officeDocument/2006/relationships/hyperlink" Target="https://drive.google.com/file/d/18xSEgsgGRurl2b_cNwCrIJrNmofIuF80/view?usp=drive_link" TargetMode="External"/><Relationship Id="rId7" Type="http://schemas.openxmlformats.org/officeDocument/2006/relationships/hyperlink" Target="https://drive.google.com/file/d/18zVHMNj-j4FEGxscwMKqBa5YWIV3Qhy0/view?usp=drive_link" TargetMode="External"/><Relationship Id="rId8" Type="http://schemas.openxmlformats.org/officeDocument/2006/relationships/hyperlink" Target="https://drive.google.com/file/d/1ThLIKBTP_q9rR7HdOIptOKGE9J9sU1ho/view?usp=drive_link" TargetMode="External"/><Relationship Id="rId31" Type="http://schemas.openxmlformats.org/officeDocument/2006/relationships/hyperlink" Target="https://drive.google.com/file/d/15ZC9C7wXFV3Df9TXcdnQO-5ZIzvctd_i/view?usp=drive_link" TargetMode="External"/><Relationship Id="rId30" Type="http://schemas.openxmlformats.org/officeDocument/2006/relationships/hyperlink" Target="https://drive.google.com/file/d/1V_CrhuaHtFGc4DqunFpjMuur3iC7iCBx/view?usp=drive_link" TargetMode="External"/><Relationship Id="rId11" Type="http://schemas.openxmlformats.org/officeDocument/2006/relationships/hyperlink" Target="https://drive.google.com/file/d/1gok6v7Gyr-d8gOIhQXxqxo6DQfJwozlM/view?usp=drive_link" TargetMode="External"/><Relationship Id="rId33" Type="http://schemas.openxmlformats.org/officeDocument/2006/relationships/hyperlink" Target="https://drive.google.com/file/d/1PA6Fkr4gq2stxw_I0x0pRre9-uqVW4Zw/view?usp=drive_link" TargetMode="External"/><Relationship Id="rId10" Type="http://schemas.openxmlformats.org/officeDocument/2006/relationships/hyperlink" Target="https://drive.google.com/file/d/16s7IuO5yUcAB-GzddO7HXcAeVSpPQWJF/view?usp=drive_link" TargetMode="External"/><Relationship Id="rId32" Type="http://schemas.openxmlformats.org/officeDocument/2006/relationships/hyperlink" Target="https://drive.google.com/file/d/1NrrPpp2tSrG-J7ub5dSsj4LkULOVvTc7/view?usp=drive_link" TargetMode="External"/><Relationship Id="rId13" Type="http://schemas.openxmlformats.org/officeDocument/2006/relationships/hyperlink" Target="https://drive.google.com/file/d/18u8tqun-VMKLJJZRFT-ItbP4hk8UMyHN/view?usp=drive_link" TargetMode="External"/><Relationship Id="rId35" Type="http://schemas.openxmlformats.org/officeDocument/2006/relationships/hyperlink" Target="https://drive.google.com/file/d/17Gi-pNjXNk6OJgvD5JXyRKscBQ93mzxY/view?usp=drive_link" TargetMode="External"/><Relationship Id="rId12" Type="http://schemas.openxmlformats.org/officeDocument/2006/relationships/hyperlink" Target="https://drive.google.com/file/d/16g0ER9066d0AhP7eqWoXI9x6ymCMkLip/view?usp=drive_link" TargetMode="External"/><Relationship Id="rId34" Type="http://schemas.openxmlformats.org/officeDocument/2006/relationships/hyperlink" Target="https://drive.google.com/file/d/1CabMy8FdeatyLgheS_vce0IpMhfv4_EW/view?usp=drive_link" TargetMode="External"/><Relationship Id="rId15" Type="http://schemas.openxmlformats.org/officeDocument/2006/relationships/hyperlink" Target="https://drive.google.com/drive/folders/1USIaLkET3lXZVp3sz7MQjaj2S1OAQd-G" TargetMode="External"/><Relationship Id="rId37" Type="http://schemas.openxmlformats.org/officeDocument/2006/relationships/hyperlink" Target="https://drive.google.com/file/d/1_8vTNgaJSC7mnZUh-jXAWr1ZyNQJkS83/view?usp=drive_link" TargetMode="External"/><Relationship Id="rId14" Type="http://schemas.openxmlformats.org/officeDocument/2006/relationships/hyperlink" Target="https://drive.google.com/drive/folders/1USIaLkET3lXZVp3sz7MQjaj2S1OAQd-G" TargetMode="External"/><Relationship Id="rId36" Type="http://schemas.openxmlformats.org/officeDocument/2006/relationships/hyperlink" Target="https://drive.google.com/file/d/15bPdb0dFzNpzEmvjNqr9J-N2T82J2X4u/view?usp=drive_link" TargetMode="External"/><Relationship Id="rId17" Type="http://schemas.openxmlformats.org/officeDocument/2006/relationships/hyperlink" Target="https://drive.google.com/file/d/15SfqNndk4xS3hoUQjP_POmBFqqJ-jQrH/view?usp=drive_link" TargetMode="External"/><Relationship Id="rId39" Type="http://schemas.openxmlformats.org/officeDocument/2006/relationships/hyperlink" Target="https://drive.google.com/file/d/1ctR2s8n0M4lmfqDjJXsKhWJ7HduX8Puk/view?usp=drive_link" TargetMode="External"/><Relationship Id="rId16" Type="http://schemas.openxmlformats.org/officeDocument/2006/relationships/hyperlink" Target="https://drive.google.com/file/d/1CicbQ2aPgGvU6yCJDLUEz67vXQ0oZxMn/view?usp=drive_link" TargetMode="External"/><Relationship Id="rId38" Type="http://schemas.openxmlformats.org/officeDocument/2006/relationships/hyperlink" Target="https://drive.google.com/file/d/15drkjGVaAgRknRAMBncMcfm5MQGHIvQx/view?usp=drive_link" TargetMode="External"/><Relationship Id="rId19" Type="http://schemas.openxmlformats.org/officeDocument/2006/relationships/hyperlink" Target="https://drive.google.com/file/d/1MSmn71h-XO-pjyUh0yVvOIj4OEJWZxOH/view?usp=drive_link" TargetMode="External"/><Relationship Id="rId18" Type="http://schemas.openxmlformats.org/officeDocument/2006/relationships/hyperlink" Target="https://drive.google.com/file/d/16hlc2T9U2XxqXrNcFvc4heJdDLbCOn7-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3.86"/>
    <col customWidth="1" min="2" max="2" width="52.0"/>
    <col customWidth="1" min="3" max="3" width="15.86"/>
    <col customWidth="1" min="4" max="4" width="3.14"/>
    <col customWidth="1" min="5" max="5" width="21.14"/>
    <col customWidth="1" min="6" max="6" width="18.57"/>
    <col customWidth="1" min="7" max="7" width="13.57"/>
    <col customWidth="1" min="8" max="8" width="15.43"/>
    <col customWidth="1" min="9" max="10" width="15.71"/>
    <col customWidth="1" min="11" max="14" width="13.43"/>
    <col customWidth="1" min="15" max="15" width="17.43"/>
    <col customWidth="1" min="16" max="17" width="21.71"/>
    <col customWidth="1" min="18" max="20" width="11.43"/>
    <col customWidth="1" min="21" max="21" width="30.14"/>
    <col customWidth="1" min="22" max="22" width="17.14"/>
    <col customWidth="1" min="23" max="23" width="17.71"/>
    <col customWidth="1" min="24" max="24" width="13.14"/>
    <col customWidth="1" min="25" max="26" width="19.43"/>
    <col customWidth="1" min="27" max="28" width="18.71"/>
    <col customWidth="1" min="29" max="29" width="19.29"/>
    <col customWidth="1" min="30" max="30" width="20.0"/>
    <col customWidth="1" min="31" max="31" width="22.43"/>
    <col customWidth="1" min="32" max="32" width="12.14"/>
    <col customWidth="1" min="33" max="33" width="12.86"/>
    <col customWidth="1" min="34" max="34" width="19.57"/>
    <col customWidth="1" min="35" max="36" width="19.14"/>
    <col customWidth="1" min="37" max="37" width="18.71"/>
    <col customWidth="1" min="38" max="38" width="10.71"/>
    <col customWidth="1" min="39" max="39" width="17.86"/>
    <col customWidth="1" min="40" max="41" width="13.0"/>
    <col customWidth="1" min="42" max="42" width="11.71"/>
    <col customWidth="1" min="43" max="43" width="12.0"/>
    <col customWidth="1" min="44" max="44" width="14.14"/>
    <col customWidth="1" hidden="1" min="45" max="45" width="17.57"/>
    <col customWidth="1" min="46" max="46" width="13.14"/>
    <col customWidth="1" min="49" max="49" width="19.57"/>
    <col customWidth="1" min="50" max="50" width="22.14"/>
    <col customWidth="1" min="51" max="51" width="11.86"/>
  </cols>
  <sheetData>
    <row r="1">
      <c r="A1" s="1"/>
      <c r="B1" s="2" t="s">
        <v>0</v>
      </c>
      <c r="C1" s="3"/>
      <c r="D1" s="3"/>
      <c r="E1" s="4" t="s">
        <v>1</v>
      </c>
      <c r="F1" s="5" t="s">
        <v>2</v>
      </c>
      <c r="G1" s="6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6" t="s">
        <v>8</v>
      </c>
      <c r="M1" s="6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6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6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6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7"/>
    </row>
    <row r="2" ht="18.0" customHeight="1">
      <c r="A2" s="8">
        <v>1.0</v>
      </c>
      <c r="B2" s="9" t="s">
        <v>47</v>
      </c>
      <c r="C2" s="10" t="s">
        <v>48</v>
      </c>
      <c r="D2" s="11" t="s">
        <v>49</v>
      </c>
      <c r="E2" s="12"/>
      <c r="F2" s="12"/>
      <c r="G2" s="12"/>
      <c r="H2" s="12"/>
      <c r="I2" s="13"/>
      <c r="J2" s="13"/>
      <c r="K2" s="13"/>
      <c r="L2" s="12"/>
      <c r="M2" s="12"/>
      <c r="N2" s="14">
        <v>2024.0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5">
        <v>2019.0</v>
      </c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6">
        <f t="shared" ref="AY2:AY19" si="1">COUNTA(E2:AX2)</f>
        <v>2</v>
      </c>
    </row>
    <row r="3">
      <c r="A3" s="8">
        <v>2.0</v>
      </c>
      <c r="B3" s="17" t="s">
        <v>50</v>
      </c>
      <c r="C3" s="10" t="s">
        <v>48</v>
      </c>
      <c r="D3" s="11" t="s">
        <v>51</v>
      </c>
      <c r="E3" s="12"/>
      <c r="F3" s="12"/>
      <c r="G3" s="12"/>
      <c r="H3" s="12"/>
      <c r="I3" s="15">
        <v>2022.0</v>
      </c>
      <c r="J3" s="13"/>
      <c r="K3" s="13"/>
      <c r="L3" s="12"/>
      <c r="M3" s="12"/>
      <c r="N3" s="18">
        <v>2024.0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>
        <v>2024.0</v>
      </c>
      <c r="AK3" s="12">
        <v>2023.0</v>
      </c>
      <c r="AL3" s="12"/>
      <c r="AM3" s="12"/>
      <c r="AN3" s="12"/>
      <c r="AO3" s="12"/>
      <c r="AP3" s="12"/>
      <c r="AQ3" s="18">
        <v>2024.0</v>
      </c>
      <c r="AR3" s="12">
        <v>2023.0</v>
      </c>
      <c r="AS3" s="12"/>
      <c r="AT3" s="12"/>
      <c r="AU3" s="12"/>
      <c r="AV3" s="12"/>
      <c r="AW3" s="12"/>
      <c r="AX3" s="12"/>
      <c r="AY3" s="16">
        <f t="shared" si="1"/>
        <v>6</v>
      </c>
    </row>
    <row r="4" ht="18.0" customHeight="1">
      <c r="A4" s="8">
        <v>3.0</v>
      </c>
      <c r="B4" s="9" t="s">
        <v>52</v>
      </c>
      <c r="C4" s="19" t="s">
        <v>53</v>
      </c>
      <c r="D4" s="20" t="s">
        <v>51</v>
      </c>
      <c r="E4" s="12"/>
      <c r="F4" s="12"/>
      <c r="G4" s="18">
        <v>2024.0</v>
      </c>
      <c r="H4" s="21"/>
      <c r="I4" s="13"/>
      <c r="J4" s="15">
        <v>2017.0</v>
      </c>
      <c r="K4" s="15">
        <v>2015.0</v>
      </c>
      <c r="L4" s="12"/>
      <c r="M4" s="12"/>
      <c r="N4" s="18">
        <v>2024.0</v>
      </c>
      <c r="O4" s="12"/>
      <c r="P4" s="12">
        <v>2020.0</v>
      </c>
      <c r="Q4" s="12"/>
      <c r="R4" s="12"/>
      <c r="S4" s="12"/>
      <c r="T4" s="12"/>
      <c r="U4" s="12"/>
      <c r="V4" s="12"/>
      <c r="W4" s="12"/>
      <c r="X4" s="12"/>
      <c r="Y4" s="12">
        <v>2024.0</v>
      </c>
      <c r="Z4" s="12">
        <v>2018.0</v>
      </c>
      <c r="AA4" s="12"/>
      <c r="AB4" s="12">
        <v>2016.0</v>
      </c>
      <c r="AC4" s="12">
        <v>2016.0</v>
      </c>
      <c r="AD4" s="12"/>
      <c r="AE4" s="12"/>
      <c r="AF4" s="22">
        <v>2025.0</v>
      </c>
      <c r="AG4" s="12"/>
      <c r="AH4" s="22">
        <v>2025.0</v>
      </c>
      <c r="AI4" s="23">
        <v>45804.0</v>
      </c>
      <c r="AJ4" s="12">
        <v>2019.0</v>
      </c>
      <c r="AK4" s="12">
        <v>2018.0</v>
      </c>
      <c r="AL4" s="12"/>
      <c r="AM4" s="12"/>
      <c r="AN4" s="22">
        <v>2025.0</v>
      </c>
      <c r="AO4" s="12">
        <v>2016.0</v>
      </c>
      <c r="AP4" s="12"/>
      <c r="AQ4" s="24">
        <v>2016.0</v>
      </c>
      <c r="AR4" s="12">
        <v>2019.0</v>
      </c>
      <c r="AS4" s="12"/>
      <c r="AT4" s="25">
        <v>2023.0</v>
      </c>
      <c r="AU4" s="12"/>
      <c r="AV4" s="12"/>
      <c r="AW4" s="12"/>
      <c r="AX4" s="12"/>
      <c r="AY4" s="16">
        <f t="shared" si="1"/>
        <v>19</v>
      </c>
    </row>
    <row r="5" ht="18.0" customHeight="1">
      <c r="A5" s="8">
        <v>4.0</v>
      </c>
      <c r="B5" s="9" t="s">
        <v>54</v>
      </c>
      <c r="C5" s="19" t="s">
        <v>55</v>
      </c>
      <c r="D5" s="20" t="s">
        <v>51</v>
      </c>
      <c r="E5" s="12"/>
      <c r="F5" s="12"/>
      <c r="G5" s="18">
        <v>2025.0</v>
      </c>
      <c r="H5" s="26"/>
      <c r="I5" s="27">
        <v>2023.0</v>
      </c>
      <c r="J5" s="13"/>
      <c r="K5" s="13"/>
      <c r="L5" s="12"/>
      <c r="M5" s="12"/>
      <c r="N5" s="18">
        <v>2024.0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22">
        <v>2025.0</v>
      </c>
      <c r="AI5" s="23">
        <v>45804.0</v>
      </c>
      <c r="AJ5" s="12">
        <v>2024.0</v>
      </c>
      <c r="AK5" s="12">
        <v>2022.0</v>
      </c>
      <c r="AL5" s="12"/>
      <c r="AM5" s="12"/>
      <c r="AN5" s="12"/>
      <c r="AO5" s="12"/>
      <c r="AP5" s="12"/>
      <c r="AQ5" s="18">
        <v>2025.0</v>
      </c>
      <c r="AR5" s="12">
        <v>2024.0</v>
      </c>
      <c r="AS5" s="12"/>
      <c r="AT5" s="28">
        <v>2025.0</v>
      </c>
      <c r="AU5" s="12"/>
      <c r="AV5" s="12"/>
      <c r="AW5" s="12"/>
      <c r="AX5" s="12"/>
      <c r="AY5" s="16">
        <f t="shared" si="1"/>
        <v>10</v>
      </c>
    </row>
    <row r="6" ht="18.0" customHeight="1">
      <c r="A6" s="8">
        <v>5.0</v>
      </c>
      <c r="B6" s="9" t="s">
        <v>56</v>
      </c>
      <c r="C6" s="10" t="s">
        <v>48</v>
      </c>
      <c r="D6" s="20" t="s">
        <v>49</v>
      </c>
      <c r="E6" s="12"/>
      <c r="F6" s="12"/>
      <c r="G6" s="12"/>
      <c r="H6" s="12"/>
      <c r="I6" s="13"/>
      <c r="J6" s="13"/>
      <c r="K6" s="13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6">
        <f t="shared" si="1"/>
        <v>0</v>
      </c>
    </row>
    <row r="7" ht="18.0" customHeight="1">
      <c r="A7" s="8">
        <v>6.0</v>
      </c>
      <c r="B7" s="9" t="s">
        <v>57</v>
      </c>
      <c r="C7" s="10" t="s">
        <v>48</v>
      </c>
      <c r="D7" s="20" t="s">
        <v>49</v>
      </c>
      <c r="E7" s="12"/>
      <c r="F7" s="12"/>
      <c r="G7" s="12"/>
      <c r="H7" s="12"/>
      <c r="I7" s="13"/>
      <c r="J7" s="13"/>
      <c r="K7" s="13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29"/>
      <c r="AB7" s="29">
        <v>45422.0</v>
      </c>
      <c r="AC7" s="30">
        <v>45880.0</v>
      </c>
      <c r="AD7" s="12"/>
      <c r="AE7" s="12"/>
      <c r="AF7" s="12"/>
      <c r="AG7" s="12"/>
      <c r="AH7" s="12"/>
      <c r="AI7" s="12"/>
      <c r="AJ7" s="23">
        <v>45815.0</v>
      </c>
      <c r="AK7" s="29">
        <v>45456.0</v>
      </c>
      <c r="AL7" s="12"/>
      <c r="AM7" s="12"/>
      <c r="AN7" s="12"/>
      <c r="AO7" s="12"/>
      <c r="AP7" s="12"/>
      <c r="AQ7" s="12"/>
      <c r="AR7" s="12">
        <v>2023.0</v>
      </c>
      <c r="AS7" s="12"/>
      <c r="AT7" s="12">
        <v>2025.0</v>
      </c>
      <c r="AU7" s="22">
        <v>2025.0</v>
      </c>
      <c r="AV7" s="12"/>
      <c r="AW7" s="12"/>
      <c r="AX7" s="12"/>
      <c r="AY7" s="16">
        <f t="shared" si="1"/>
        <v>7</v>
      </c>
    </row>
    <row r="8" ht="18.0" customHeight="1">
      <c r="A8" s="8">
        <v>7.0</v>
      </c>
      <c r="B8" s="17" t="s">
        <v>58</v>
      </c>
      <c r="C8" s="10" t="s">
        <v>53</v>
      </c>
      <c r="D8" s="20" t="s">
        <v>49</v>
      </c>
      <c r="E8" s="12"/>
      <c r="F8" s="12"/>
      <c r="G8" s="12"/>
      <c r="H8" s="12"/>
      <c r="I8" s="15">
        <v>2022.0</v>
      </c>
      <c r="J8" s="15">
        <v>2022.0</v>
      </c>
      <c r="K8" s="13"/>
      <c r="L8" s="12"/>
      <c r="M8" s="12"/>
      <c r="N8" s="18">
        <v>2024.0</v>
      </c>
      <c r="O8" s="12"/>
      <c r="P8" s="12"/>
      <c r="Q8" s="12"/>
      <c r="R8" s="12"/>
      <c r="S8" s="12"/>
      <c r="T8" s="12"/>
      <c r="U8" s="12"/>
      <c r="V8" s="12">
        <v>2017.0</v>
      </c>
      <c r="W8" s="12"/>
      <c r="X8" s="22">
        <v>2025.0</v>
      </c>
      <c r="Y8" s="12">
        <v>2024.0</v>
      </c>
      <c r="Z8" s="12">
        <v>2018.0</v>
      </c>
      <c r="AA8" s="12"/>
      <c r="AB8" s="12">
        <v>2015.0</v>
      </c>
      <c r="AC8" s="12"/>
      <c r="AD8" s="12"/>
      <c r="AE8" s="12"/>
      <c r="AF8" s="22">
        <v>2016.0</v>
      </c>
      <c r="AG8" s="12"/>
      <c r="AH8" s="12">
        <v>2023.0</v>
      </c>
      <c r="AI8" s="12"/>
      <c r="AJ8" s="12">
        <v>2018.0</v>
      </c>
      <c r="AK8" s="12">
        <v>2022.0</v>
      </c>
      <c r="AL8" s="12">
        <v>2016.0</v>
      </c>
      <c r="AM8" s="12">
        <v>2017.0</v>
      </c>
      <c r="AN8" s="12">
        <v>2012.0</v>
      </c>
      <c r="AO8" s="12"/>
      <c r="AP8" s="12">
        <v>2023.0</v>
      </c>
      <c r="AQ8" s="18">
        <v>2020.0</v>
      </c>
      <c r="AR8" s="13">
        <v>2021.0</v>
      </c>
      <c r="AS8" s="12"/>
      <c r="AT8" s="12">
        <v>2015.0</v>
      </c>
      <c r="AU8" s="13">
        <v>2023.0</v>
      </c>
      <c r="AV8" s="13"/>
      <c r="AW8" s="12"/>
      <c r="AX8" s="12"/>
      <c r="AY8" s="16">
        <f t="shared" si="1"/>
        <v>20</v>
      </c>
    </row>
    <row r="9" ht="18.0" customHeight="1">
      <c r="A9" s="8">
        <v>8.0</v>
      </c>
      <c r="B9" s="31" t="s">
        <v>59</v>
      </c>
      <c r="C9" s="19" t="s">
        <v>60</v>
      </c>
      <c r="D9" s="32" t="s">
        <v>49</v>
      </c>
      <c r="E9" s="12"/>
      <c r="F9" s="12"/>
      <c r="G9" s="12"/>
      <c r="H9" s="12"/>
      <c r="I9" s="13"/>
      <c r="J9" s="13"/>
      <c r="K9" s="15">
        <v>2013.0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>
        <v>2025.0</v>
      </c>
      <c r="AO9" s="12"/>
      <c r="AP9" s="12"/>
      <c r="AQ9" s="13"/>
      <c r="AR9" s="13">
        <v>2021.0</v>
      </c>
      <c r="AS9" s="12"/>
      <c r="AT9" s="12"/>
      <c r="AU9" s="12"/>
      <c r="AV9" s="12"/>
      <c r="AW9" s="12"/>
      <c r="AX9" s="12"/>
      <c r="AY9" s="16">
        <f t="shared" si="1"/>
        <v>3</v>
      </c>
    </row>
    <row r="10" ht="18.0" customHeight="1">
      <c r="A10" s="8">
        <v>9.0</v>
      </c>
      <c r="B10" s="9" t="s">
        <v>61</v>
      </c>
      <c r="C10" s="19" t="s">
        <v>62</v>
      </c>
      <c r="D10" s="20" t="s">
        <v>49</v>
      </c>
      <c r="E10" s="14">
        <v>2016.0</v>
      </c>
      <c r="F10" s="12"/>
      <c r="G10" s="18">
        <v>2024.0</v>
      </c>
      <c r="H10" s="18">
        <v>2022.0</v>
      </c>
      <c r="I10" s="13"/>
      <c r="J10" s="15">
        <v>2017.0</v>
      </c>
      <c r="K10" s="13"/>
      <c r="L10" s="12"/>
      <c r="M10" s="12"/>
      <c r="N10" s="18">
        <v>2024.0</v>
      </c>
      <c r="O10" s="12"/>
      <c r="P10" s="12"/>
      <c r="Q10" s="12"/>
      <c r="R10" s="12"/>
      <c r="S10" s="12"/>
      <c r="T10" s="12"/>
      <c r="U10" s="12"/>
      <c r="V10" s="22" t="s">
        <v>63</v>
      </c>
      <c r="W10" s="12"/>
      <c r="X10" s="12">
        <v>2022.0</v>
      </c>
      <c r="Y10" s="12">
        <v>2024.0</v>
      </c>
      <c r="Z10" s="12">
        <v>2021.0</v>
      </c>
      <c r="AA10" s="12"/>
      <c r="AB10" s="12">
        <v>2022.0</v>
      </c>
      <c r="AC10" s="12" t="s">
        <v>64</v>
      </c>
      <c r="AD10" s="12">
        <v>2016.0</v>
      </c>
      <c r="AE10" s="12"/>
      <c r="AF10" s="12">
        <v>2016.0</v>
      </c>
      <c r="AG10" s="12"/>
      <c r="AH10" s="12">
        <v>2023.0</v>
      </c>
      <c r="AI10" s="12"/>
      <c r="AJ10" s="12">
        <v>2024.0</v>
      </c>
      <c r="AK10" s="12"/>
      <c r="AL10" s="12"/>
      <c r="AM10" s="12">
        <v>2017.0</v>
      </c>
      <c r="AN10" s="12">
        <v>2024.0</v>
      </c>
      <c r="AO10" s="12"/>
      <c r="AP10" s="12"/>
      <c r="AQ10" s="14">
        <v>2021.0</v>
      </c>
      <c r="AR10" s="12">
        <v>2018.0</v>
      </c>
      <c r="AS10" s="12"/>
      <c r="AT10" s="12">
        <v>2022.0</v>
      </c>
      <c r="AU10" s="12">
        <v>2024.0</v>
      </c>
      <c r="AV10" s="12"/>
      <c r="AW10" s="12"/>
      <c r="AX10" s="12"/>
      <c r="AY10" s="16">
        <f t="shared" si="1"/>
        <v>21</v>
      </c>
    </row>
    <row r="11" ht="18.0" customHeight="1">
      <c r="A11" s="8">
        <v>10.0</v>
      </c>
      <c r="B11" s="9" t="s">
        <v>65</v>
      </c>
      <c r="C11" s="10" t="s">
        <v>48</v>
      </c>
      <c r="D11" s="20" t="s">
        <v>49</v>
      </c>
      <c r="E11" s="12"/>
      <c r="F11" s="12"/>
      <c r="G11" s="12"/>
      <c r="H11" s="12"/>
      <c r="I11" s="13"/>
      <c r="J11" s="13"/>
      <c r="K11" s="13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>
        <v>2020.0</v>
      </c>
      <c r="AS11" s="12"/>
      <c r="AT11" s="12">
        <v>2024.0</v>
      </c>
      <c r="AU11" s="12"/>
      <c r="AV11" s="12"/>
      <c r="AW11" s="12"/>
      <c r="AX11" s="12"/>
      <c r="AY11" s="16">
        <f t="shared" si="1"/>
        <v>2</v>
      </c>
    </row>
    <row r="12" ht="18.0" customHeight="1">
      <c r="A12" s="8">
        <v>11.0</v>
      </c>
      <c r="B12" s="9" t="s">
        <v>66</v>
      </c>
      <c r="C12" s="19" t="s">
        <v>55</v>
      </c>
      <c r="D12" s="33" t="s">
        <v>49</v>
      </c>
      <c r="E12" s="12"/>
      <c r="F12" s="12"/>
      <c r="G12" s="12"/>
      <c r="H12" s="12"/>
      <c r="I12" s="13"/>
      <c r="J12" s="13"/>
      <c r="K12" s="15">
        <v>2015.0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5">
        <v>2019.0</v>
      </c>
      <c r="AG12" s="12"/>
      <c r="AH12" s="12"/>
      <c r="AI12" s="12"/>
      <c r="AJ12" s="12"/>
      <c r="AK12" s="12"/>
      <c r="AL12" s="12"/>
      <c r="AM12" s="12"/>
      <c r="AN12" s="15">
        <v>2019.0</v>
      </c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6">
        <f t="shared" si="1"/>
        <v>3</v>
      </c>
    </row>
    <row r="13" ht="18.0" customHeight="1">
      <c r="A13" s="8">
        <v>12.0</v>
      </c>
      <c r="B13" s="17" t="s">
        <v>67</v>
      </c>
      <c r="C13" s="10" t="s">
        <v>48</v>
      </c>
      <c r="D13" s="20" t="s">
        <v>51</v>
      </c>
      <c r="E13" s="12"/>
      <c r="F13" s="12"/>
      <c r="G13" s="12"/>
      <c r="H13" s="12"/>
      <c r="I13" s="13"/>
      <c r="J13" s="13"/>
      <c r="K13" s="13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3"/>
      <c r="Z13" s="15">
        <v>2018.0</v>
      </c>
      <c r="AA13" s="12"/>
      <c r="AB13" s="15">
        <v>2019.0</v>
      </c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5">
        <v>2018.0</v>
      </c>
      <c r="AP13" s="12"/>
      <c r="AQ13" s="12"/>
      <c r="AR13" s="15">
        <v>2016.0</v>
      </c>
      <c r="AS13" s="12"/>
      <c r="AT13" s="12"/>
      <c r="AU13" s="12"/>
      <c r="AV13" s="12"/>
      <c r="AW13" s="12"/>
      <c r="AX13" s="12"/>
      <c r="AY13" s="16">
        <f t="shared" si="1"/>
        <v>4</v>
      </c>
    </row>
    <row r="14" ht="32.25" hidden="1" customHeight="1">
      <c r="A14" s="8">
        <v>13.0</v>
      </c>
      <c r="B14" s="17" t="s">
        <v>68</v>
      </c>
      <c r="C14" s="10" t="s">
        <v>69</v>
      </c>
      <c r="D14" s="20" t="s">
        <v>49</v>
      </c>
      <c r="E14" s="12"/>
      <c r="F14" s="12"/>
      <c r="G14" s="12"/>
      <c r="H14" s="12"/>
      <c r="I14" s="13"/>
      <c r="J14" s="13"/>
      <c r="K14" s="13"/>
      <c r="L14" s="12"/>
      <c r="M14" s="12"/>
      <c r="N14" s="12"/>
      <c r="O14" s="12">
        <v>2020.0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22">
        <v>2022.0</v>
      </c>
      <c r="AI14" s="12"/>
      <c r="AJ14" s="15">
        <v>2019.0</v>
      </c>
      <c r="AK14" s="12"/>
      <c r="AL14" s="12"/>
      <c r="AM14" s="12"/>
      <c r="AN14" s="12"/>
      <c r="AO14" s="12"/>
      <c r="AP14" s="15">
        <v>2019.0</v>
      </c>
      <c r="AQ14" s="15">
        <v>2016.0</v>
      </c>
      <c r="AR14" s="15" t="s">
        <v>70</v>
      </c>
      <c r="AS14" s="13"/>
      <c r="AT14" s="13"/>
      <c r="AU14" s="12"/>
      <c r="AV14" s="12"/>
      <c r="AW14" s="12"/>
      <c r="AX14" s="12"/>
      <c r="AY14" s="16">
        <f t="shared" si="1"/>
        <v>6</v>
      </c>
    </row>
    <row r="15" ht="30.0" customHeight="1">
      <c r="A15" s="8">
        <v>14.0</v>
      </c>
      <c r="B15" s="9" t="s">
        <v>71</v>
      </c>
      <c r="C15" s="19" t="s">
        <v>72</v>
      </c>
      <c r="D15" s="33" t="s">
        <v>49</v>
      </c>
      <c r="E15" s="12"/>
      <c r="F15" s="12"/>
      <c r="G15" s="12"/>
      <c r="H15" s="12"/>
      <c r="I15" s="13"/>
      <c r="J15" s="13"/>
      <c r="K15" s="13"/>
      <c r="L15" s="12"/>
      <c r="M15" s="26"/>
      <c r="N15" s="18">
        <v>2020.0</v>
      </c>
      <c r="O15" s="12"/>
      <c r="P15" s="12"/>
      <c r="Q15" s="12"/>
      <c r="R15" s="12"/>
      <c r="S15" s="12"/>
      <c r="T15" s="12"/>
      <c r="U15" s="15">
        <v>2015.0</v>
      </c>
      <c r="V15" s="12"/>
      <c r="W15" s="15">
        <v>2016.0</v>
      </c>
      <c r="X15" s="12"/>
      <c r="Y15" s="12"/>
      <c r="Z15" s="12">
        <v>2021.0</v>
      </c>
      <c r="AA15" s="12"/>
      <c r="AB15" s="12"/>
      <c r="AC15" s="12"/>
      <c r="AD15" s="12"/>
      <c r="AE15" s="12"/>
      <c r="AF15" s="12"/>
      <c r="AG15" s="12"/>
      <c r="AH15" s="22">
        <v>2022.0</v>
      </c>
      <c r="AI15" s="12"/>
      <c r="AJ15" s="12"/>
      <c r="AK15" s="12"/>
      <c r="AL15" s="12"/>
      <c r="AM15" s="12"/>
      <c r="AN15" s="15">
        <v>2014.0</v>
      </c>
      <c r="AO15" s="12"/>
      <c r="AP15" s="15">
        <v>2015.0</v>
      </c>
      <c r="AQ15" s="14">
        <v>2024.0</v>
      </c>
      <c r="AR15" s="12">
        <v>2024.0</v>
      </c>
      <c r="AS15" s="12"/>
      <c r="AT15" s="12"/>
      <c r="AU15" s="12"/>
      <c r="AV15" s="34">
        <v>45734.0</v>
      </c>
      <c r="AW15" s="12"/>
      <c r="AX15" s="12"/>
      <c r="AY15" s="16">
        <f t="shared" si="1"/>
        <v>10</v>
      </c>
    </row>
    <row r="16" ht="18.0" customHeight="1">
      <c r="A16" s="8">
        <v>15.0</v>
      </c>
      <c r="B16" s="17" t="s">
        <v>73</v>
      </c>
      <c r="C16" s="19" t="s">
        <v>60</v>
      </c>
      <c r="D16" s="20" t="s">
        <v>49</v>
      </c>
      <c r="E16" s="12"/>
      <c r="F16" s="12"/>
      <c r="G16" s="12"/>
      <c r="H16" s="12"/>
      <c r="I16" s="13"/>
      <c r="J16" s="13"/>
      <c r="K16" s="13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5">
        <v>2012.0</v>
      </c>
      <c r="AO16" s="12"/>
      <c r="AP16" s="13"/>
      <c r="AQ16" s="13"/>
      <c r="AR16" s="13">
        <v>2021.0</v>
      </c>
      <c r="AS16" s="13"/>
      <c r="AT16" s="13"/>
      <c r="AU16" s="12"/>
      <c r="AV16" s="12"/>
      <c r="AW16" s="12"/>
      <c r="AX16" s="12"/>
      <c r="AY16" s="16">
        <f t="shared" si="1"/>
        <v>2</v>
      </c>
    </row>
    <row r="17" ht="30.0" customHeight="1">
      <c r="A17" s="8">
        <v>16.0</v>
      </c>
      <c r="B17" s="31" t="s">
        <v>74</v>
      </c>
      <c r="C17" s="19" t="s">
        <v>75</v>
      </c>
      <c r="D17" s="32" t="s">
        <v>49</v>
      </c>
      <c r="E17" s="12"/>
      <c r="F17" s="12"/>
      <c r="G17" s="12"/>
      <c r="H17" s="12"/>
      <c r="I17" s="13"/>
      <c r="J17" s="13"/>
      <c r="K17" s="13"/>
      <c r="L17" s="12"/>
      <c r="M17" s="12"/>
      <c r="N17" s="12"/>
      <c r="O17" s="12"/>
      <c r="P17" s="12"/>
      <c r="Q17" s="12">
        <v>2020.0</v>
      </c>
      <c r="R17" s="12"/>
      <c r="S17" s="12"/>
      <c r="T17" s="12"/>
      <c r="U17" s="12"/>
      <c r="V17" s="12"/>
      <c r="W17" s="15">
        <v>2015.0</v>
      </c>
      <c r="X17" s="12"/>
      <c r="Y17" s="12"/>
      <c r="Z17" s="12">
        <v>2020.0</v>
      </c>
      <c r="AA17" s="12"/>
      <c r="AB17" s="12"/>
      <c r="AC17" s="12"/>
      <c r="AD17" s="12"/>
      <c r="AE17" s="12"/>
      <c r="AF17" s="12"/>
      <c r="AG17" s="12"/>
      <c r="AH17" s="15">
        <v>2015.0</v>
      </c>
      <c r="AI17" s="12"/>
      <c r="AJ17" s="12"/>
      <c r="AK17" s="12"/>
      <c r="AL17" s="12"/>
      <c r="AM17" s="15">
        <v>2009.0</v>
      </c>
      <c r="AN17" s="12"/>
      <c r="AO17" s="12"/>
      <c r="AP17" s="12"/>
      <c r="AQ17" s="14">
        <v>2024.0</v>
      </c>
      <c r="AR17" s="15">
        <v>2018.0</v>
      </c>
      <c r="AS17" s="12"/>
      <c r="AT17" s="15">
        <v>2005.0</v>
      </c>
      <c r="AU17" s="15">
        <v>2006.0</v>
      </c>
      <c r="AV17" s="12"/>
      <c r="AW17" s="12"/>
      <c r="AX17" s="12"/>
      <c r="AY17" s="16">
        <f t="shared" si="1"/>
        <v>9</v>
      </c>
    </row>
    <row r="18" ht="18.0" customHeight="1">
      <c r="A18" s="8">
        <v>17.0</v>
      </c>
      <c r="B18" s="9" t="s">
        <v>76</v>
      </c>
      <c r="C18" s="10" t="s">
        <v>48</v>
      </c>
      <c r="D18" s="33" t="s">
        <v>49</v>
      </c>
      <c r="E18" s="12"/>
      <c r="F18" s="12"/>
      <c r="G18" s="12"/>
      <c r="H18" s="12"/>
      <c r="I18" s="13"/>
      <c r="J18" s="15">
        <v>2018.0</v>
      </c>
      <c r="K18" s="15">
        <v>2018.0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>
        <v>2017.0</v>
      </c>
      <c r="W18" s="12"/>
      <c r="X18" s="12">
        <v>2024.0</v>
      </c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>
        <v>2024.0</v>
      </c>
      <c r="AS18" s="12"/>
      <c r="AT18" s="12">
        <v>2018.0</v>
      </c>
      <c r="AU18" s="12"/>
      <c r="AV18" s="12"/>
      <c r="AW18" s="12"/>
      <c r="AX18" s="12"/>
      <c r="AY18" s="16">
        <f t="shared" si="1"/>
        <v>6</v>
      </c>
    </row>
    <row r="19" ht="18.0" customHeight="1">
      <c r="A19" s="8">
        <v>18.0</v>
      </c>
      <c r="B19" s="31" t="s">
        <v>77</v>
      </c>
      <c r="C19" s="10" t="s">
        <v>53</v>
      </c>
      <c r="D19" s="32" t="s">
        <v>49</v>
      </c>
      <c r="E19" s="12"/>
      <c r="F19" s="12"/>
      <c r="G19" s="12"/>
      <c r="H19" s="14"/>
      <c r="I19" s="13"/>
      <c r="J19" s="13"/>
      <c r="K19" s="13"/>
      <c r="L19" s="12"/>
      <c r="M19" s="26"/>
      <c r="N19" s="18">
        <v>2020.0</v>
      </c>
      <c r="O19" s="12"/>
      <c r="P19" s="12"/>
      <c r="Q19" s="12"/>
      <c r="R19" s="12"/>
      <c r="S19" s="12"/>
      <c r="T19" s="12"/>
      <c r="U19" s="15">
        <v>2015.0</v>
      </c>
      <c r="V19" s="12"/>
      <c r="W19" s="12"/>
      <c r="X19" s="15">
        <v>2019.0</v>
      </c>
      <c r="Y19" s="12"/>
      <c r="Z19" s="12"/>
      <c r="AA19" s="12"/>
      <c r="AB19" s="12"/>
      <c r="AC19" s="12"/>
      <c r="AD19" s="12"/>
      <c r="AE19" s="12"/>
      <c r="AF19" s="15">
        <v>2017.0</v>
      </c>
      <c r="AG19" s="12"/>
      <c r="AH19" s="35">
        <v>42231.0</v>
      </c>
      <c r="AI19" s="12"/>
      <c r="AJ19" s="12"/>
      <c r="AK19" s="12">
        <v>2023.0</v>
      </c>
      <c r="AL19" s="12"/>
      <c r="AM19" s="15">
        <v>2015.0</v>
      </c>
      <c r="AN19" s="12"/>
      <c r="AO19" s="15">
        <v>2018.0</v>
      </c>
      <c r="AP19" s="12"/>
      <c r="AQ19" s="15">
        <v>2016.0</v>
      </c>
      <c r="AR19" s="13">
        <v>2021.0</v>
      </c>
      <c r="AS19" s="12"/>
      <c r="AT19" s="12"/>
      <c r="AU19" s="12"/>
      <c r="AV19" s="12"/>
      <c r="AW19" s="12"/>
      <c r="AX19" s="12"/>
      <c r="AY19" s="16">
        <f t="shared" si="1"/>
        <v>10</v>
      </c>
    </row>
    <row r="20" ht="18.0" customHeight="1">
      <c r="A20" s="8">
        <v>19.0</v>
      </c>
      <c r="B20" s="31" t="s">
        <v>78</v>
      </c>
      <c r="C20" s="10" t="s">
        <v>48</v>
      </c>
      <c r="D20" s="32" t="s">
        <v>51</v>
      </c>
      <c r="E20" s="12"/>
      <c r="F20" s="12"/>
      <c r="G20" s="12"/>
      <c r="H20" s="12"/>
      <c r="I20" s="13"/>
      <c r="J20" s="13"/>
      <c r="K20" s="13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36"/>
      <c r="AI20" s="12"/>
      <c r="AJ20" s="12"/>
      <c r="AK20" s="23">
        <v>45785.0</v>
      </c>
      <c r="AL20" s="12"/>
      <c r="AM20" s="12"/>
      <c r="AN20" s="12"/>
      <c r="AO20" s="12"/>
      <c r="AP20" s="12"/>
      <c r="AQ20" s="12"/>
      <c r="AR20" s="13"/>
      <c r="AS20" s="12"/>
      <c r="AT20" s="12"/>
      <c r="AU20" s="12"/>
      <c r="AV20" s="12"/>
      <c r="AW20" s="12"/>
      <c r="AX20" s="12"/>
      <c r="AY20" s="16"/>
    </row>
    <row r="21" ht="18.0" customHeight="1">
      <c r="A21" s="8">
        <v>20.0</v>
      </c>
      <c r="B21" s="9" t="s">
        <v>79</v>
      </c>
      <c r="C21" s="10" t="s">
        <v>55</v>
      </c>
      <c r="D21" s="32" t="s">
        <v>49</v>
      </c>
      <c r="E21" s="12"/>
      <c r="F21" s="12"/>
      <c r="G21" s="18">
        <v>2024.0</v>
      </c>
      <c r="H21" s="14"/>
      <c r="I21" s="15">
        <v>2024.0</v>
      </c>
      <c r="J21" s="37">
        <v>2024.0</v>
      </c>
      <c r="K21" s="13"/>
      <c r="L21" s="12"/>
      <c r="M21" s="12"/>
      <c r="N21" s="12">
        <v>2024.0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>
        <v>2022.0</v>
      </c>
      <c r="AA21" s="12"/>
      <c r="AB21" s="12"/>
      <c r="AC21" s="12"/>
      <c r="AD21" s="12"/>
      <c r="AE21" s="12"/>
      <c r="AF21" s="12"/>
      <c r="AG21" s="12"/>
      <c r="AH21" s="12"/>
      <c r="AI21" s="12"/>
      <c r="AJ21" s="23">
        <v>45822.0</v>
      </c>
      <c r="AK21" s="12">
        <v>2023.0</v>
      </c>
      <c r="AL21" s="12"/>
      <c r="AM21" s="12"/>
      <c r="AN21" s="12"/>
      <c r="AO21" s="12">
        <v>2022.0</v>
      </c>
      <c r="AP21" s="13"/>
      <c r="AQ21" s="13"/>
      <c r="AR21" s="13">
        <v>2020.0</v>
      </c>
      <c r="AS21" s="13"/>
      <c r="AT21" s="13"/>
      <c r="AU21" s="12"/>
      <c r="AV21" s="12"/>
      <c r="AW21" s="12"/>
      <c r="AX21" s="12"/>
      <c r="AY21" s="16">
        <f t="shared" ref="AY21:AY23" si="2">COUNTA(E21:AX21)</f>
        <v>9</v>
      </c>
    </row>
    <row r="22" ht="18.0" customHeight="1">
      <c r="A22" s="8">
        <v>21.0</v>
      </c>
      <c r="B22" s="9" t="s">
        <v>80</v>
      </c>
      <c r="C22" s="10" t="s">
        <v>48</v>
      </c>
      <c r="D22" s="32" t="s">
        <v>49</v>
      </c>
      <c r="E22" s="12"/>
      <c r="F22" s="12"/>
      <c r="G22" s="18">
        <v>2024.0</v>
      </c>
      <c r="H22" s="14"/>
      <c r="I22" s="15">
        <v>2024.0</v>
      </c>
      <c r="J22" s="13"/>
      <c r="K22" s="13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8">
        <v>2024.0</v>
      </c>
      <c r="AR22" s="18">
        <v>2024.0</v>
      </c>
      <c r="AS22" s="12"/>
      <c r="AT22" s="12"/>
      <c r="AU22" s="12"/>
      <c r="AV22" s="12"/>
      <c r="AW22" s="12"/>
      <c r="AX22" s="12"/>
      <c r="AY22" s="16">
        <f t="shared" si="2"/>
        <v>4</v>
      </c>
    </row>
    <row r="23" ht="18.0" customHeight="1">
      <c r="A23" s="8">
        <v>22.0</v>
      </c>
      <c r="B23" s="9" t="s">
        <v>81</v>
      </c>
      <c r="C23" s="10" t="s">
        <v>48</v>
      </c>
      <c r="D23" s="32" t="s">
        <v>49</v>
      </c>
      <c r="E23" s="12"/>
      <c r="F23" s="12"/>
      <c r="G23" s="18">
        <v>2025.0</v>
      </c>
      <c r="H23" s="38"/>
      <c r="I23" s="13"/>
      <c r="J23" s="13"/>
      <c r="K23" s="13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23">
        <v>45828.0</v>
      </c>
      <c r="AK23" s="12">
        <v>2024.0</v>
      </c>
      <c r="AL23" s="12"/>
      <c r="AM23" s="12"/>
      <c r="AN23" s="12"/>
      <c r="AO23" s="12"/>
      <c r="AP23" s="12"/>
      <c r="AQ23" s="21">
        <v>2025.0</v>
      </c>
      <c r="AR23" s="12"/>
      <c r="AS23" s="12"/>
      <c r="AT23" s="12"/>
      <c r="AU23" s="12"/>
      <c r="AV23" s="12"/>
      <c r="AW23" s="12"/>
      <c r="AX23" s="12"/>
      <c r="AY23" s="16">
        <f t="shared" si="2"/>
        <v>4</v>
      </c>
    </row>
    <row r="24" ht="18.0" customHeight="1">
      <c r="A24" s="8">
        <v>23.0</v>
      </c>
      <c r="B24" s="9" t="s">
        <v>82</v>
      </c>
      <c r="C24" s="10" t="s">
        <v>48</v>
      </c>
      <c r="D24" s="32" t="s">
        <v>51</v>
      </c>
      <c r="E24" s="12"/>
      <c r="F24" s="12"/>
      <c r="G24" s="12"/>
      <c r="H24" s="12"/>
      <c r="I24" s="13"/>
      <c r="J24" s="13"/>
      <c r="K24" s="13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22"/>
      <c r="AB24" s="22">
        <v>2025.0</v>
      </c>
      <c r="AC24" s="12"/>
      <c r="AD24" s="12"/>
      <c r="AE24" s="12"/>
      <c r="AF24" s="12"/>
      <c r="AG24" s="12"/>
      <c r="AH24" s="12"/>
      <c r="AI24" s="12"/>
      <c r="AJ24" s="22">
        <v>2025.0</v>
      </c>
      <c r="AK24" s="12"/>
      <c r="AL24" s="12"/>
      <c r="AM24" s="12"/>
      <c r="AN24" s="12"/>
      <c r="AO24" s="12"/>
      <c r="AP24" s="12"/>
      <c r="AQ24" s="12"/>
      <c r="AR24" s="12">
        <v>2024.0</v>
      </c>
      <c r="AS24" s="12"/>
      <c r="AT24" s="15" t="s">
        <v>83</v>
      </c>
      <c r="AU24" s="12"/>
      <c r="AV24" s="12"/>
      <c r="AW24" s="12"/>
      <c r="AX24" s="12"/>
      <c r="AY24" s="16"/>
    </row>
    <row r="25" ht="18.0" customHeight="1">
      <c r="A25" s="8">
        <v>24.0</v>
      </c>
      <c r="B25" s="9" t="s">
        <v>84</v>
      </c>
      <c r="C25" s="10" t="s">
        <v>48</v>
      </c>
      <c r="D25" s="32" t="s">
        <v>49</v>
      </c>
      <c r="E25" s="12"/>
      <c r="F25" s="12"/>
      <c r="G25" s="18">
        <v>2025.0</v>
      </c>
      <c r="H25" s="39"/>
      <c r="I25" s="15">
        <v>2022.0</v>
      </c>
      <c r="J25" s="15">
        <v>2022.0</v>
      </c>
      <c r="K25" s="13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40"/>
      <c r="AB25" s="40">
        <v>45831.0</v>
      </c>
      <c r="AC25" s="30">
        <v>45880.0</v>
      </c>
      <c r="AD25" s="12"/>
      <c r="AE25" s="12"/>
      <c r="AF25" s="12"/>
      <c r="AG25" s="12"/>
      <c r="AH25" s="12"/>
      <c r="AI25" s="12"/>
      <c r="AJ25" s="23">
        <v>45815.0</v>
      </c>
      <c r="AK25" s="12">
        <v>2024.0</v>
      </c>
      <c r="AL25" s="12"/>
      <c r="AM25" s="12"/>
      <c r="AN25" s="12"/>
      <c r="AO25" s="12" t="s">
        <v>85</v>
      </c>
      <c r="AP25" s="13"/>
      <c r="AQ25" s="13"/>
      <c r="AR25" s="13">
        <v>2022.0</v>
      </c>
      <c r="AS25" s="13"/>
      <c r="AT25" s="13">
        <v>2022.0</v>
      </c>
      <c r="AU25" s="12"/>
      <c r="AV25" s="12"/>
      <c r="AW25" s="12"/>
      <c r="AX25" s="12"/>
      <c r="AY25" s="16">
        <f t="shared" ref="AY25:AY35" si="3">COUNTA(E25:AX25)</f>
        <v>10</v>
      </c>
    </row>
    <row r="26" ht="18.0" customHeight="1">
      <c r="A26" s="8">
        <v>25.0</v>
      </c>
      <c r="B26" s="9" t="s">
        <v>86</v>
      </c>
      <c r="C26" s="10" t="s">
        <v>48</v>
      </c>
      <c r="D26" s="32" t="s">
        <v>49</v>
      </c>
      <c r="E26" s="12"/>
      <c r="F26" s="12"/>
      <c r="G26" s="12"/>
      <c r="H26" s="12"/>
      <c r="I26" s="15">
        <v>2022.0</v>
      </c>
      <c r="J26" s="15">
        <v>2022.0</v>
      </c>
      <c r="K26" s="13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>
        <v>2023.0</v>
      </c>
      <c r="W26" s="12"/>
      <c r="X26" s="12"/>
      <c r="Y26" s="12"/>
      <c r="Z26" s="12"/>
      <c r="AA26" s="29"/>
      <c r="AB26" s="29"/>
      <c r="AC26" s="12"/>
      <c r="AD26" s="12"/>
      <c r="AE26" s="12"/>
      <c r="AF26" s="12">
        <v>2023.0</v>
      </c>
      <c r="AG26" s="12"/>
      <c r="AH26" s="12"/>
      <c r="AI26" s="12"/>
      <c r="AJ26" s="12"/>
      <c r="AK26" s="12"/>
      <c r="AL26" s="12"/>
      <c r="AM26" s="12"/>
      <c r="AN26" s="12">
        <v>2022.0</v>
      </c>
      <c r="AO26" s="12"/>
      <c r="AP26" s="13"/>
      <c r="AQ26" s="13"/>
      <c r="AR26" s="13">
        <v>2021.0</v>
      </c>
      <c r="AS26" s="13"/>
      <c r="AT26" s="13"/>
      <c r="AU26" s="12"/>
      <c r="AV26" s="12"/>
      <c r="AW26" s="12"/>
      <c r="AX26" s="12"/>
      <c r="AY26" s="16">
        <f t="shared" si="3"/>
        <v>6</v>
      </c>
    </row>
    <row r="27" ht="18.0" customHeight="1">
      <c r="A27" s="8">
        <v>26.0</v>
      </c>
      <c r="B27" s="9" t="s">
        <v>87</v>
      </c>
      <c r="C27" s="10" t="s">
        <v>88</v>
      </c>
      <c r="D27" s="33" t="s">
        <v>49</v>
      </c>
      <c r="E27" s="12"/>
      <c r="F27" s="12"/>
      <c r="G27" s="12"/>
      <c r="H27" s="12"/>
      <c r="I27" s="13"/>
      <c r="J27" s="13"/>
      <c r="K27" s="13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>
        <v>2022.0</v>
      </c>
      <c r="Y27" s="12"/>
      <c r="Z27" s="12"/>
      <c r="AA27" s="12"/>
      <c r="AB27" s="12"/>
      <c r="AC27" s="12"/>
      <c r="AD27" s="12"/>
      <c r="AE27" s="12"/>
      <c r="AF27" s="12" t="s">
        <v>64</v>
      </c>
      <c r="AG27" s="12"/>
      <c r="AH27" s="12"/>
      <c r="AI27" s="12"/>
      <c r="AJ27" s="30">
        <v>45815.0</v>
      </c>
      <c r="AK27" s="12">
        <v>2024.0</v>
      </c>
      <c r="AL27" s="12"/>
      <c r="AM27" s="12"/>
      <c r="AN27" s="12"/>
      <c r="AO27" s="12"/>
      <c r="AP27" s="13"/>
      <c r="AQ27" s="13"/>
      <c r="AR27" s="13">
        <v>2021.0</v>
      </c>
      <c r="AS27" s="13"/>
      <c r="AT27" s="13">
        <v>2025.0</v>
      </c>
      <c r="AU27" s="12"/>
      <c r="AV27" s="12"/>
      <c r="AW27" s="12"/>
      <c r="AX27" s="12"/>
      <c r="AY27" s="16">
        <f t="shared" si="3"/>
        <v>6</v>
      </c>
    </row>
    <row r="28" ht="18.0" customHeight="1">
      <c r="A28" s="8">
        <v>27.0</v>
      </c>
      <c r="B28" s="9" t="s">
        <v>89</v>
      </c>
      <c r="C28" s="10" t="s">
        <v>88</v>
      </c>
      <c r="D28" s="20" t="s">
        <v>49</v>
      </c>
      <c r="E28" s="12"/>
      <c r="F28" s="12"/>
      <c r="G28" s="12"/>
      <c r="H28" s="14"/>
      <c r="I28" s="13"/>
      <c r="J28" s="13"/>
      <c r="K28" s="13"/>
      <c r="L28" s="12"/>
      <c r="M28" s="12"/>
      <c r="N28" s="12"/>
      <c r="O28" s="12"/>
      <c r="P28" s="12"/>
      <c r="Q28" s="12"/>
      <c r="R28" s="12"/>
      <c r="S28" s="12"/>
      <c r="T28" s="12"/>
      <c r="U28" s="12">
        <v>2015.0</v>
      </c>
      <c r="V28" s="12"/>
      <c r="W28" s="12"/>
      <c r="X28" s="12"/>
      <c r="Y28" s="12"/>
      <c r="Z28" s="12">
        <v>2021.0</v>
      </c>
      <c r="AA28" s="12"/>
      <c r="AB28" s="12"/>
      <c r="AC28" s="12"/>
      <c r="AD28" s="12"/>
      <c r="AE28" s="12"/>
      <c r="AF28" s="12"/>
      <c r="AG28" s="12"/>
      <c r="AH28" s="22">
        <v>2022.0</v>
      </c>
      <c r="AI28" s="12"/>
      <c r="AJ28" s="12">
        <v>2019.0</v>
      </c>
      <c r="AK28" s="12">
        <v>2018.0</v>
      </c>
      <c r="AL28" s="12"/>
      <c r="AM28" s="12"/>
      <c r="AN28" s="12"/>
      <c r="AO28" s="12"/>
      <c r="AP28" s="13"/>
      <c r="AQ28" s="27">
        <v>2022.0</v>
      </c>
      <c r="AR28" s="13">
        <v>2021.0</v>
      </c>
      <c r="AS28" s="13"/>
      <c r="AT28" s="13">
        <v>2015.0</v>
      </c>
      <c r="AU28" s="12">
        <v>2015.0</v>
      </c>
      <c r="AV28" s="12"/>
      <c r="AW28" s="12"/>
      <c r="AX28" s="12">
        <v>2017.0</v>
      </c>
      <c r="AY28" s="16">
        <f t="shared" si="3"/>
        <v>10</v>
      </c>
    </row>
    <row r="29" ht="18.0" customHeight="1">
      <c r="A29" s="8">
        <v>28.0</v>
      </c>
      <c r="B29" s="9" t="s">
        <v>90</v>
      </c>
      <c r="C29" s="10" t="s">
        <v>48</v>
      </c>
      <c r="D29" s="20" t="s">
        <v>49</v>
      </c>
      <c r="E29" s="12"/>
      <c r="F29" s="12"/>
      <c r="G29" s="12"/>
      <c r="H29" s="12"/>
      <c r="I29" s="13"/>
      <c r="J29" s="13"/>
      <c r="K29" s="13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29"/>
      <c r="AB29" s="29">
        <v>45422.0</v>
      </c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>
        <v>2024.0</v>
      </c>
      <c r="AS29" s="12"/>
      <c r="AT29" s="12"/>
      <c r="AU29" s="12"/>
      <c r="AV29" s="12"/>
      <c r="AW29" s="12"/>
      <c r="AX29" s="12"/>
      <c r="AY29" s="16">
        <f t="shared" si="3"/>
        <v>2</v>
      </c>
    </row>
    <row r="30" ht="18.0" customHeight="1">
      <c r="A30" s="8">
        <v>29.0</v>
      </c>
      <c r="B30" s="9" t="s">
        <v>91</v>
      </c>
      <c r="C30" s="10" t="s">
        <v>48</v>
      </c>
      <c r="D30" s="33" t="s">
        <v>49</v>
      </c>
      <c r="E30" s="12"/>
      <c r="F30" s="12"/>
      <c r="G30" s="18">
        <v>2024.0</v>
      </c>
      <c r="H30" s="14"/>
      <c r="I30" s="15">
        <v>2024.0</v>
      </c>
      <c r="J30" s="13"/>
      <c r="K30" s="13"/>
      <c r="L30" s="12"/>
      <c r="M30" s="12"/>
      <c r="N30" s="12">
        <v>2024.0</v>
      </c>
      <c r="O30" s="12"/>
      <c r="P30" s="12"/>
      <c r="Q30" s="12"/>
      <c r="R30" s="12"/>
      <c r="S30" s="12"/>
      <c r="T30" s="23">
        <v>45782.0</v>
      </c>
      <c r="U30" s="12"/>
      <c r="V30" s="12"/>
      <c r="W30" s="12"/>
      <c r="X30" s="12"/>
      <c r="Y30" s="12"/>
      <c r="Z30" s="12"/>
      <c r="AA30" s="29"/>
      <c r="AB30" s="29">
        <v>45422.0</v>
      </c>
      <c r="AC30" s="12"/>
      <c r="AD30" s="12"/>
      <c r="AE30" s="12"/>
      <c r="AF30" s="12"/>
      <c r="AG30" s="12"/>
      <c r="AH30" s="12"/>
      <c r="AI30" s="12"/>
      <c r="AJ30" s="12">
        <v>2024.0</v>
      </c>
      <c r="AK30" s="12">
        <v>2023.0</v>
      </c>
      <c r="AL30" s="12"/>
      <c r="AM30" s="12"/>
      <c r="AN30" s="12"/>
      <c r="AO30" s="12"/>
      <c r="AP30" s="12"/>
      <c r="AQ30" s="18">
        <v>2024.0</v>
      </c>
      <c r="AR30" s="18">
        <v>2024.0</v>
      </c>
      <c r="AS30" s="12"/>
      <c r="AT30" s="12"/>
      <c r="AU30" s="12"/>
      <c r="AV30" s="12"/>
      <c r="AW30" s="12"/>
      <c r="AX30" s="12"/>
      <c r="AY30" s="16">
        <f t="shared" si="3"/>
        <v>9</v>
      </c>
    </row>
    <row r="31" ht="18.0" customHeight="1">
      <c r="A31" s="8">
        <v>30.0</v>
      </c>
      <c r="B31" s="9" t="s">
        <v>92</v>
      </c>
      <c r="C31" s="10" t="s">
        <v>48</v>
      </c>
      <c r="D31" s="20" t="s">
        <v>51</v>
      </c>
      <c r="E31" s="12"/>
      <c r="F31" s="12"/>
      <c r="G31" s="12"/>
      <c r="H31" s="12"/>
      <c r="I31" s="13"/>
      <c r="J31" s="13"/>
      <c r="K31" s="15">
        <v>2015.0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>
        <v>2024.0</v>
      </c>
      <c r="Y31" s="12"/>
      <c r="Z31" s="15">
        <v>2018.0</v>
      </c>
      <c r="AA31" s="12"/>
      <c r="AB31" s="12"/>
      <c r="AC31" s="12"/>
      <c r="AD31" s="12"/>
      <c r="AE31" s="12"/>
      <c r="AF31" s="12"/>
      <c r="AG31" s="12"/>
      <c r="AH31" s="12"/>
      <c r="AI31" s="12"/>
      <c r="AJ31" s="23">
        <v>45814.0</v>
      </c>
      <c r="AK31" s="12"/>
      <c r="AL31" s="12"/>
      <c r="AM31" s="12"/>
      <c r="AN31" s="15">
        <v>2015.0</v>
      </c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6">
        <f t="shared" si="3"/>
        <v>5</v>
      </c>
    </row>
    <row r="32" ht="18.0" customHeight="1">
      <c r="A32" s="8">
        <v>31.0</v>
      </c>
      <c r="B32" s="9" t="s">
        <v>93</v>
      </c>
      <c r="C32" s="10" t="s">
        <v>48</v>
      </c>
      <c r="D32" s="33" t="s">
        <v>49</v>
      </c>
      <c r="E32" s="12"/>
      <c r="F32" s="12"/>
      <c r="G32" s="12"/>
      <c r="H32" s="12"/>
      <c r="I32" s="13"/>
      <c r="J32" s="13"/>
      <c r="K32" s="15">
        <v>2019.0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5">
        <v>2015.0</v>
      </c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5">
        <v>2016.0</v>
      </c>
      <c r="AM32" s="12"/>
      <c r="AN32" s="12"/>
      <c r="AO32" s="12"/>
      <c r="AP32" s="13"/>
      <c r="AQ32" s="13"/>
      <c r="AR32" s="13">
        <v>2021.0</v>
      </c>
      <c r="AS32" s="13"/>
      <c r="AT32" s="13"/>
      <c r="AU32" s="12"/>
      <c r="AV32" s="12"/>
      <c r="AW32" s="12"/>
      <c r="AX32" s="12"/>
      <c r="AY32" s="16">
        <f t="shared" si="3"/>
        <v>4</v>
      </c>
    </row>
    <row r="33" ht="30.0" customHeight="1">
      <c r="A33" s="8">
        <v>32.0</v>
      </c>
      <c r="B33" s="41" t="s">
        <v>94</v>
      </c>
      <c r="C33" s="10" t="s">
        <v>95</v>
      </c>
      <c r="D33" s="32" t="s">
        <v>49</v>
      </c>
      <c r="E33" s="12"/>
      <c r="F33" s="12"/>
      <c r="G33" s="18">
        <v>2024.0</v>
      </c>
      <c r="H33" s="12"/>
      <c r="I33" s="13"/>
      <c r="J33" s="13"/>
      <c r="K33" s="13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5">
        <v>2016.0</v>
      </c>
      <c r="X33" s="12"/>
      <c r="Y33" s="12"/>
      <c r="Z33" s="12">
        <v>2021.0</v>
      </c>
      <c r="AA33" s="12"/>
      <c r="AB33" s="15">
        <v>2016.0</v>
      </c>
      <c r="AC33" s="15">
        <v>2016.0</v>
      </c>
      <c r="AD33" s="12"/>
      <c r="AE33" s="12"/>
      <c r="AF33" s="12"/>
      <c r="AG33" s="15">
        <v>2017.0</v>
      </c>
      <c r="AH33" s="15">
        <v>2012.0</v>
      </c>
      <c r="AI33" s="12"/>
      <c r="AJ33" s="12"/>
      <c r="AK33" s="12">
        <v>2025.0</v>
      </c>
      <c r="AL33" s="12"/>
      <c r="AM33" s="12"/>
      <c r="AN33" s="15">
        <v>2011.0</v>
      </c>
      <c r="AO33" s="12"/>
      <c r="AP33" s="15">
        <v>2011.0</v>
      </c>
      <c r="AQ33" s="15">
        <v>2016.0</v>
      </c>
      <c r="AR33" s="13">
        <v>2021.0</v>
      </c>
      <c r="AS33" s="13"/>
      <c r="AT33" s="15">
        <v>2005.0</v>
      </c>
      <c r="AU33" s="15">
        <v>2015.0</v>
      </c>
      <c r="AV33" s="34">
        <v>45756.0</v>
      </c>
      <c r="AW33" s="12"/>
      <c r="AX33" s="12"/>
      <c r="AY33" s="16">
        <f t="shared" si="3"/>
        <v>15</v>
      </c>
    </row>
    <row r="34" ht="18.0" customHeight="1">
      <c r="A34" s="8">
        <v>33.0</v>
      </c>
      <c r="B34" s="9" t="s">
        <v>96</v>
      </c>
      <c r="C34" s="10" t="s">
        <v>48</v>
      </c>
      <c r="D34" s="33" t="s">
        <v>49</v>
      </c>
      <c r="E34" s="12"/>
      <c r="F34" s="12"/>
      <c r="G34" s="12"/>
      <c r="H34" s="14"/>
      <c r="I34" s="27">
        <v>2024.0</v>
      </c>
      <c r="J34" s="13"/>
      <c r="K34" s="13"/>
      <c r="L34" s="12"/>
      <c r="M34" s="18">
        <v>2025.0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>
        <v>2024.0</v>
      </c>
      <c r="AK34" s="12">
        <v>2024.0</v>
      </c>
      <c r="AL34" s="12"/>
      <c r="AM34" s="12"/>
      <c r="AN34" s="12"/>
      <c r="AO34" s="12"/>
      <c r="AP34" s="12"/>
      <c r="AQ34" s="15">
        <v>2016.0</v>
      </c>
      <c r="AR34" s="12">
        <v>2024.0</v>
      </c>
      <c r="AS34" s="12"/>
      <c r="AT34" s="12"/>
      <c r="AU34" s="12"/>
      <c r="AV34" s="12"/>
      <c r="AW34" s="12"/>
      <c r="AX34" s="12"/>
      <c r="AY34" s="16">
        <f t="shared" si="3"/>
        <v>6</v>
      </c>
    </row>
    <row r="35" ht="18.0" customHeight="1">
      <c r="A35" s="8">
        <v>34.0</v>
      </c>
      <c r="B35" s="17" t="s">
        <v>97</v>
      </c>
      <c r="C35" s="10" t="s">
        <v>48</v>
      </c>
      <c r="D35" s="20" t="s">
        <v>51</v>
      </c>
      <c r="E35" s="12"/>
      <c r="F35" s="12"/>
      <c r="G35" s="12"/>
      <c r="H35" s="12"/>
      <c r="I35" s="15">
        <v>2024.0</v>
      </c>
      <c r="J35" s="27">
        <v>2024.0</v>
      </c>
      <c r="K35" s="13"/>
      <c r="L35" s="12"/>
      <c r="M35" s="12"/>
      <c r="N35" s="12">
        <v>2024.0</v>
      </c>
      <c r="O35" s="12"/>
      <c r="P35" s="12"/>
      <c r="Q35" s="12"/>
      <c r="R35" s="12"/>
      <c r="S35" s="12"/>
      <c r="T35" s="12"/>
      <c r="U35" s="12"/>
      <c r="V35" s="12"/>
      <c r="W35" s="12"/>
      <c r="X35" s="15">
        <v>2015.0</v>
      </c>
      <c r="Y35" s="12"/>
      <c r="Z35" s="12"/>
      <c r="AA35" s="29"/>
      <c r="AB35" s="29">
        <v>45422.0</v>
      </c>
      <c r="AC35" s="12"/>
      <c r="AD35" s="12"/>
      <c r="AE35" s="12"/>
      <c r="AF35" s="12"/>
      <c r="AG35" s="12"/>
      <c r="AH35" s="12"/>
      <c r="AI35" s="12"/>
      <c r="AJ35" s="12"/>
      <c r="AK35" s="12">
        <v>2024.0</v>
      </c>
      <c r="AL35" s="12"/>
      <c r="AM35" s="12"/>
      <c r="AN35" s="15">
        <v>2019.0</v>
      </c>
      <c r="AO35" s="12"/>
      <c r="AP35" s="13"/>
      <c r="AQ35" s="13"/>
      <c r="AR35" s="15">
        <v>2017.0</v>
      </c>
      <c r="AS35" s="13"/>
      <c r="AT35" s="13"/>
      <c r="AU35" s="12"/>
      <c r="AV35" s="12"/>
      <c r="AW35" s="12"/>
      <c r="AX35" s="12"/>
      <c r="AY35" s="16">
        <f t="shared" si="3"/>
        <v>8</v>
      </c>
    </row>
    <row r="36" ht="18.0" customHeight="1">
      <c r="A36" s="8">
        <v>35.0</v>
      </c>
      <c r="B36" s="17" t="s">
        <v>98</v>
      </c>
      <c r="C36" s="10" t="s">
        <v>48</v>
      </c>
      <c r="D36" s="20" t="s">
        <v>51</v>
      </c>
      <c r="E36" s="12"/>
      <c r="F36" s="12"/>
      <c r="G36" s="12"/>
      <c r="H36" s="12"/>
      <c r="I36" s="13"/>
      <c r="J36" s="42"/>
      <c r="K36" s="13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29"/>
      <c r="AB36" s="29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3"/>
      <c r="AQ36" s="13"/>
      <c r="AR36" s="13">
        <v>2024.0</v>
      </c>
      <c r="AS36" s="13"/>
      <c r="AT36" s="13"/>
      <c r="AU36" s="12"/>
      <c r="AV36" s="23">
        <v>45814.0</v>
      </c>
      <c r="AW36" s="12"/>
      <c r="AX36" s="12"/>
      <c r="AY36" s="16"/>
    </row>
    <row r="37" ht="30.0" customHeight="1">
      <c r="A37" s="8">
        <v>36.0</v>
      </c>
      <c r="B37" s="9" t="s">
        <v>99</v>
      </c>
      <c r="C37" s="10" t="s">
        <v>95</v>
      </c>
      <c r="D37" s="33" t="s">
        <v>49</v>
      </c>
      <c r="E37" s="12"/>
      <c r="F37" s="12"/>
      <c r="G37" s="18">
        <v>2024.0</v>
      </c>
      <c r="H37" s="14"/>
      <c r="I37" s="13"/>
      <c r="J37" s="14">
        <v>2017.0</v>
      </c>
      <c r="K37" s="15">
        <v>2015.0</v>
      </c>
      <c r="L37" s="12"/>
      <c r="M37" s="12"/>
      <c r="N37" s="21">
        <v>2024.0</v>
      </c>
      <c r="O37" s="12">
        <v>2023.0</v>
      </c>
      <c r="P37" s="12">
        <v>2020.0</v>
      </c>
      <c r="Q37" s="12"/>
      <c r="R37" s="12"/>
      <c r="S37" s="12"/>
      <c r="T37" s="12"/>
      <c r="U37" s="15">
        <v>2015.0</v>
      </c>
      <c r="V37" s="15">
        <v>2014.0</v>
      </c>
      <c r="W37" s="15">
        <v>2016.0</v>
      </c>
      <c r="X37" s="22">
        <v>2025.0</v>
      </c>
      <c r="Y37" s="12">
        <v>2024.0</v>
      </c>
      <c r="Z37" s="12">
        <v>2020.0</v>
      </c>
      <c r="AA37" s="12"/>
      <c r="AB37" s="15">
        <v>2018.0</v>
      </c>
      <c r="AC37" s="12"/>
      <c r="AD37" s="12"/>
      <c r="AE37" s="12"/>
      <c r="AF37" s="12"/>
      <c r="AG37" s="12"/>
      <c r="AH37" s="15">
        <v>2012.0</v>
      </c>
      <c r="AI37" s="12"/>
      <c r="AJ37" s="12">
        <v>2024.0</v>
      </c>
      <c r="AK37" s="29">
        <v>45456.0</v>
      </c>
      <c r="AL37" s="12"/>
      <c r="AM37" s="15">
        <v>2012.0</v>
      </c>
      <c r="AN37" s="15">
        <v>2014.0</v>
      </c>
      <c r="AO37" s="15">
        <v>2016.0</v>
      </c>
      <c r="AP37" s="15">
        <v>2015.0</v>
      </c>
      <c r="AQ37" s="37">
        <v>2020.0</v>
      </c>
      <c r="AR37" s="13">
        <v>2023.0</v>
      </c>
      <c r="AS37" s="13"/>
      <c r="AT37" s="15">
        <v>2011.0</v>
      </c>
      <c r="AU37" s="15">
        <v>2012.0</v>
      </c>
      <c r="AV37" s="13"/>
      <c r="AW37" s="22">
        <v>2024.0</v>
      </c>
      <c r="AX37" s="12"/>
      <c r="AY37" s="16">
        <f t="shared" ref="AY37:AY45" si="4">COUNTA(E37:AX37)</f>
        <v>25</v>
      </c>
    </row>
    <row r="38" ht="18.0" customHeight="1">
      <c r="A38" s="8">
        <v>37.0</v>
      </c>
      <c r="B38" s="17" t="s">
        <v>100</v>
      </c>
      <c r="C38" s="10" t="s">
        <v>88</v>
      </c>
      <c r="D38" s="20" t="s">
        <v>51</v>
      </c>
      <c r="E38" s="12"/>
      <c r="F38" s="12"/>
      <c r="G38" s="12"/>
      <c r="H38" s="12"/>
      <c r="I38" s="13"/>
      <c r="J38" s="13"/>
      <c r="K38" s="15">
        <v>2018.0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>
        <v>2016.0</v>
      </c>
      <c r="W38" s="12"/>
      <c r="X38" s="12"/>
      <c r="Y38" s="12"/>
      <c r="Z38" s="12">
        <v>2018.0</v>
      </c>
      <c r="AA38" s="12"/>
      <c r="AB38" s="12">
        <v>2015.0</v>
      </c>
      <c r="AC38" s="12"/>
      <c r="AD38" s="12"/>
      <c r="AE38" s="12"/>
      <c r="AF38" s="12">
        <v>2017.0</v>
      </c>
      <c r="AG38" s="12">
        <v>2017.0</v>
      </c>
      <c r="AH38" s="12"/>
      <c r="AI38" s="12"/>
      <c r="AJ38" s="12"/>
      <c r="AK38" s="12"/>
      <c r="AL38" s="12">
        <v>2022.0</v>
      </c>
      <c r="AM38" s="12">
        <v>2015.0</v>
      </c>
      <c r="AN38" s="12"/>
      <c r="AO38" s="12"/>
      <c r="AP38" s="12"/>
      <c r="AQ38" s="13"/>
      <c r="AR38" s="12" t="s">
        <v>101</v>
      </c>
      <c r="AS38" s="12"/>
      <c r="AT38" s="12">
        <v>2018.0</v>
      </c>
      <c r="AU38" s="12"/>
      <c r="AV38" s="12"/>
      <c r="AW38" s="12"/>
      <c r="AX38" s="12"/>
      <c r="AY38" s="16">
        <f t="shared" si="4"/>
        <v>10</v>
      </c>
    </row>
    <row r="39" ht="18.0" customHeight="1">
      <c r="A39" s="8">
        <v>38.0</v>
      </c>
      <c r="B39" s="9" t="s">
        <v>102</v>
      </c>
      <c r="C39" s="10" t="s">
        <v>55</v>
      </c>
      <c r="D39" s="33" t="s">
        <v>49</v>
      </c>
      <c r="E39" s="12"/>
      <c r="F39" s="12"/>
      <c r="G39" s="12"/>
      <c r="H39" s="12"/>
      <c r="I39" s="13"/>
      <c r="J39" s="15">
        <v>2018.0</v>
      </c>
      <c r="K39" s="15">
        <v>2018.0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5">
        <v>2019.0</v>
      </c>
      <c r="W39" s="12"/>
      <c r="X39" s="12"/>
      <c r="Y39" s="12"/>
      <c r="Z39" s="12"/>
      <c r="AA39" s="12"/>
      <c r="AB39" s="15">
        <v>2015.0</v>
      </c>
      <c r="AC39" s="12">
        <v>2023.0</v>
      </c>
      <c r="AD39" s="15">
        <v>2016.0</v>
      </c>
      <c r="AE39" s="12"/>
      <c r="AF39" s="15">
        <v>2018.0</v>
      </c>
      <c r="AG39" s="12"/>
      <c r="AH39" s="12">
        <v>2024.0</v>
      </c>
      <c r="AI39" s="12"/>
      <c r="AJ39" s="15">
        <v>2018.0</v>
      </c>
      <c r="AK39" s="12">
        <v>2022.0</v>
      </c>
      <c r="AL39" s="12"/>
      <c r="AM39" s="12"/>
      <c r="AN39" s="12"/>
      <c r="AO39" s="12"/>
      <c r="AP39" s="12"/>
      <c r="AQ39" s="12"/>
      <c r="AR39" s="13">
        <v>2023.0</v>
      </c>
      <c r="AS39" s="12"/>
      <c r="AT39" s="12"/>
      <c r="AU39" s="12"/>
      <c r="AV39" s="12"/>
      <c r="AW39" s="12"/>
      <c r="AX39" s="12"/>
      <c r="AY39" s="16">
        <f t="shared" si="4"/>
        <v>11</v>
      </c>
    </row>
    <row r="40" ht="18.0" customHeight="1">
      <c r="A40" s="8">
        <v>39.0</v>
      </c>
      <c r="B40" s="9" t="s">
        <v>103</v>
      </c>
      <c r="C40" s="10" t="s">
        <v>48</v>
      </c>
      <c r="D40" s="33" t="s">
        <v>49</v>
      </c>
      <c r="E40" s="12"/>
      <c r="F40" s="12"/>
      <c r="G40" s="12"/>
      <c r="H40" s="12"/>
      <c r="I40" s="13"/>
      <c r="J40" s="15">
        <v>2022.0</v>
      </c>
      <c r="K40" s="15">
        <v>2019.0</v>
      </c>
      <c r="L40" s="12"/>
      <c r="M40" s="12"/>
      <c r="N40" s="12"/>
      <c r="O40" s="12"/>
      <c r="P40" s="12"/>
      <c r="Q40" s="12"/>
      <c r="R40" s="12"/>
      <c r="S40" s="12"/>
      <c r="T40" s="23">
        <v>45780.0</v>
      </c>
      <c r="U40" s="12"/>
      <c r="V40" s="12"/>
      <c r="W40" s="12"/>
      <c r="X40" s="12"/>
      <c r="Y40" s="12"/>
      <c r="Z40" s="12"/>
      <c r="AA40" s="43"/>
      <c r="AB40" s="43">
        <v>44247.0</v>
      </c>
      <c r="AC40" s="12"/>
      <c r="AD40" s="12"/>
      <c r="AE40" s="12"/>
      <c r="AF40" s="12"/>
      <c r="AG40" s="12"/>
      <c r="AH40" s="12">
        <v>2019.0</v>
      </c>
      <c r="AI40" s="12"/>
      <c r="AJ40" s="12">
        <v>2024.0</v>
      </c>
      <c r="AK40" s="23">
        <v>45778.0</v>
      </c>
      <c r="AL40" s="12"/>
      <c r="AM40" s="12"/>
      <c r="AN40" s="12">
        <v>2024.0</v>
      </c>
      <c r="AO40" s="12"/>
      <c r="AP40" s="12"/>
      <c r="AQ40" s="18">
        <v>2024.0</v>
      </c>
      <c r="AR40" s="13">
        <v>2021.0</v>
      </c>
      <c r="AS40" s="12"/>
      <c r="AT40" s="12">
        <v>2015.0</v>
      </c>
      <c r="AU40" s="12">
        <v>2015.0</v>
      </c>
      <c r="AV40" s="34">
        <v>45746.0</v>
      </c>
      <c r="AW40" s="12"/>
      <c r="AX40" s="12"/>
      <c r="AY40" s="16">
        <f t="shared" si="4"/>
        <v>13</v>
      </c>
    </row>
    <row r="41" ht="18.0" customHeight="1">
      <c r="A41" s="8">
        <v>40.0</v>
      </c>
      <c r="B41" s="9" t="s">
        <v>104</v>
      </c>
      <c r="C41" s="10" t="s">
        <v>48</v>
      </c>
      <c r="D41" s="32" t="s">
        <v>51</v>
      </c>
      <c r="E41" s="12"/>
      <c r="F41" s="12"/>
      <c r="G41" s="18">
        <v>2024.0</v>
      </c>
      <c r="H41" s="12"/>
      <c r="I41" s="13"/>
      <c r="J41" s="13"/>
      <c r="K41" s="13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44"/>
      <c r="AA41" s="45">
        <v>45870.0</v>
      </c>
      <c r="AB41" s="29">
        <v>45422.0</v>
      </c>
      <c r="AC41" s="12"/>
      <c r="AD41" s="12"/>
      <c r="AE41" s="12"/>
      <c r="AF41" s="12"/>
      <c r="AG41" s="12"/>
      <c r="AH41" s="12"/>
      <c r="AI41" s="12"/>
      <c r="AJ41" s="12"/>
      <c r="AK41" s="12">
        <v>2024.0</v>
      </c>
      <c r="AL41" s="15">
        <v>2019.0</v>
      </c>
      <c r="AM41" s="12"/>
      <c r="AN41" s="12"/>
      <c r="AO41" s="12"/>
      <c r="AP41" s="12"/>
      <c r="AQ41" s="12"/>
      <c r="AR41" s="15">
        <v>2019.0</v>
      </c>
      <c r="AS41" s="12"/>
      <c r="AT41" s="12"/>
      <c r="AU41" s="12"/>
      <c r="AV41" s="12"/>
      <c r="AW41" s="12"/>
      <c r="AX41" s="12"/>
      <c r="AY41" s="16">
        <f t="shared" si="4"/>
        <v>6</v>
      </c>
    </row>
    <row r="42" ht="18.0" customHeight="1">
      <c r="A42" s="8">
        <v>41.0</v>
      </c>
      <c r="B42" s="17" t="s">
        <v>105</v>
      </c>
      <c r="C42" s="10" t="s">
        <v>48</v>
      </c>
      <c r="D42" s="20" t="s">
        <v>49</v>
      </c>
      <c r="E42" s="12"/>
      <c r="F42" s="12"/>
      <c r="G42" s="12"/>
      <c r="H42" s="12"/>
      <c r="I42" s="13"/>
      <c r="J42" s="13"/>
      <c r="K42" s="15">
        <v>2018.0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5">
        <v>2015.0</v>
      </c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6">
        <f t="shared" si="4"/>
        <v>2</v>
      </c>
    </row>
    <row r="43" ht="18.0" customHeight="1">
      <c r="A43" s="8">
        <v>42.0</v>
      </c>
      <c r="B43" s="9" t="s">
        <v>106</v>
      </c>
      <c r="C43" s="10" t="s">
        <v>55</v>
      </c>
      <c r="D43" s="33" t="s">
        <v>49</v>
      </c>
      <c r="E43" s="43"/>
      <c r="F43" s="12"/>
      <c r="G43" s="12"/>
      <c r="H43" s="12"/>
      <c r="I43" s="13"/>
      <c r="J43" s="15">
        <v>2018.0</v>
      </c>
      <c r="K43" s="15">
        <v>2019.0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5">
        <v>2019.0</v>
      </c>
      <c r="W43" s="12"/>
      <c r="X43" s="15">
        <v>2015.0</v>
      </c>
      <c r="Y43" s="12"/>
      <c r="Z43" s="43">
        <v>45031.0</v>
      </c>
      <c r="AA43" s="12"/>
      <c r="AB43" s="15">
        <v>2019.0</v>
      </c>
      <c r="AC43" s="12">
        <v>2023.0</v>
      </c>
      <c r="AD43" s="12"/>
      <c r="AE43" s="12"/>
      <c r="AF43" s="15">
        <v>2018.0</v>
      </c>
      <c r="AG43" s="12"/>
      <c r="AH43" s="12"/>
      <c r="AI43" s="12"/>
      <c r="AJ43" s="15">
        <v>2018.0</v>
      </c>
      <c r="AK43" s="15">
        <v>2019.0</v>
      </c>
      <c r="AL43" s="12"/>
      <c r="AM43" s="12"/>
      <c r="AN43" s="12"/>
      <c r="AO43" s="15">
        <v>2019.0</v>
      </c>
      <c r="AP43" s="15">
        <v>2019.0</v>
      </c>
      <c r="AQ43" s="12"/>
      <c r="AR43" s="15">
        <v>2016.0</v>
      </c>
      <c r="AS43" s="12"/>
      <c r="AT43" s="12"/>
      <c r="AU43" s="12"/>
      <c r="AV43" s="12"/>
      <c r="AW43" s="12"/>
      <c r="AX43" s="12"/>
      <c r="AY43" s="16">
        <f t="shared" si="4"/>
        <v>13</v>
      </c>
    </row>
    <row r="44" ht="18.0" customHeight="1">
      <c r="A44" s="8">
        <v>43.0</v>
      </c>
      <c r="B44" s="9" t="s">
        <v>107</v>
      </c>
      <c r="C44" s="10" t="s">
        <v>48</v>
      </c>
      <c r="D44" s="33" t="s">
        <v>49</v>
      </c>
      <c r="E44" s="12"/>
      <c r="F44" s="12"/>
      <c r="G44" s="12"/>
      <c r="H44" s="12"/>
      <c r="I44" s="13"/>
      <c r="J44" s="13"/>
      <c r="K44" s="13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44">
        <v>45787.0</v>
      </c>
      <c r="AA44" s="12"/>
      <c r="AB44" s="12"/>
      <c r="AC44" s="12"/>
      <c r="AD44" s="12"/>
      <c r="AE44" s="12"/>
      <c r="AF44" s="12">
        <v>2023.0</v>
      </c>
      <c r="AG44" s="12"/>
      <c r="AH44" s="12"/>
      <c r="AI44" s="12"/>
      <c r="AJ44" s="12"/>
      <c r="AK44" s="12"/>
      <c r="AL44" s="12"/>
      <c r="AM44" s="12"/>
      <c r="AN44" s="12"/>
      <c r="AO44" s="12"/>
      <c r="AP44" s="13"/>
      <c r="AQ44" s="13"/>
      <c r="AR44" s="13">
        <v>2023.0</v>
      </c>
      <c r="AS44" s="13"/>
      <c r="AT44" s="13"/>
      <c r="AU44" s="13"/>
      <c r="AV44" s="12"/>
      <c r="AW44" s="12"/>
      <c r="AX44" s="12"/>
      <c r="AY44" s="16">
        <f t="shared" si="4"/>
        <v>3</v>
      </c>
    </row>
    <row r="45" ht="18.0" customHeight="1">
      <c r="A45" s="8">
        <v>44.0</v>
      </c>
      <c r="B45" s="17" t="s">
        <v>108</v>
      </c>
      <c r="C45" s="10" t="s">
        <v>88</v>
      </c>
      <c r="D45" s="20" t="s">
        <v>49</v>
      </c>
      <c r="E45" s="12"/>
      <c r="F45" s="12"/>
      <c r="G45" s="12"/>
      <c r="H45" s="12"/>
      <c r="I45" s="15">
        <v>2024.0</v>
      </c>
      <c r="J45" s="27">
        <v>2024.0</v>
      </c>
      <c r="K45" s="13"/>
      <c r="L45" s="12"/>
      <c r="M45" s="12"/>
      <c r="N45" s="12"/>
      <c r="O45" s="12"/>
      <c r="P45" s="12">
        <v>2020.0</v>
      </c>
      <c r="Q45" s="12"/>
      <c r="R45" s="12"/>
      <c r="S45" s="12"/>
      <c r="T45" s="12"/>
      <c r="U45" s="12"/>
      <c r="V45" s="12">
        <v>2018.0</v>
      </c>
      <c r="W45" s="12">
        <v>2019.0</v>
      </c>
      <c r="X45" s="12"/>
      <c r="Y45" s="12"/>
      <c r="Z45" s="12">
        <v>2020.0</v>
      </c>
      <c r="AA45" s="12"/>
      <c r="AB45" s="12">
        <v>2023.0</v>
      </c>
      <c r="AC45" s="12">
        <v>2023.0</v>
      </c>
      <c r="AD45" s="12">
        <v>2023.0</v>
      </c>
      <c r="AE45" s="12"/>
      <c r="AF45" s="22">
        <v>2025.0</v>
      </c>
      <c r="AG45" s="12"/>
      <c r="AH45" s="36">
        <v>42231.0</v>
      </c>
      <c r="AI45" s="12"/>
      <c r="AJ45" s="23">
        <v>45814.0</v>
      </c>
      <c r="AK45" s="12">
        <v>2023.0</v>
      </c>
      <c r="AL45" s="12"/>
      <c r="AM45" s="12">
        <v>2015.0</v>
      </c>
      <c r="AN45" s="12"/>
      <c r="AO45" s="12"/>
      <c r="AP45" s="12"/>
      <c r="AQ45" s="15">
        <v>2021.0</v>
      </c>
      <c r="AR45" s="12">
        <v>2018.0</v>
      </c>
      <c r="AS45" s="12"/>
      <c r="AT45" s="12">
        <v>2015.0</v>
      </c>
      <c r="AU45" s="12">
        <v>2015.0</v>
      </c>
      <c r="AV45" s="12"/>
      <c r="AW45" s="12"/>
      <c r="AX45" s="12"/>
      <c r="AY45" s="16">
        <f t="shared" si="4"/>
        <v>18</v>
      </c>
    </row>
    <row r="46" ht="18.0" customHeight="1">
      <c r="A46" s="8">
        <v>45.0</v>
      </c>
      <c r="B46" s="17" t="s">
        <v>109</v>
      </c>
      <c r="C46" s="10" t="s">
        <v>48</v>
      </c>
      <c r="D46" s="20" t="s">
        <v>51</v>
      </c>
      <c r="E46" s="12"/>
      <c r="F46" s="12"/>
      <c r="G46" s="12"/>
      <c r="H46" s="12"/>
      <c r="I46" s="13"/>
      <c r="J46" s="42"/>
      <c r="K46" s="13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36"/>
      <c r="AI46" s="12"/>
      <c r="AJ46" s="12"/>
      <c r="AK46" s="23">
        <v>45797.0</v>
      </c>
      <c r="AL46" s="12"/>
      <c r="AM46" s="12"/>
      <c r="AN46" s="12"/>
      <c r="AO46" s="12"/>
      <c r="AP46" s="12"/>
      <c r="AQ46" s="13"/>
      <c r="AR46" s="12"/>
      <c r="AS46" s="12"/>
      <c r="AT46" s="12"/>
      <c r="AU46" s="12"/>
      <c r="AV46" s="12"/>
      <c r="AW46" s="12"/>
      <c r="AX46" s="12"/>
      <c r="AY46" s="16"/>
    </row>
    <row r="47" ht="18.0" customHeight="1">
      <c r="A47" s="8">
        <v>46.0</v>
      </c>
      <c r="B47" s="17" t="s">
        <v>110</v>
      </c>
      <c r="C47" s="10" t="s">
        <v>48</v>
      </c>
      <c r="D47" s="33" t="s">
        <v>51</v>
      </c>
      <c r="E47" s="12"/>
      <c r="F47" s="12"/>
      <c r="G47" s="12"/>
      <c r="H47" s="12"/>
      <c r="I47" s="27">
        <v>2022.0</v>
      </c>
      <c r="J47" s="46">
        <v>2024.0</v>
      </c>
      <c r="K47" s="13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>
        <v>2024.0</v>
      </c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>
        <v>2024.0</v>
      </c>
      <c r="AL47" s="12"/>
      <c r="AM47" s="12"/>
      <c r="AN47" s="12"/>
      <c r="AO47" s="12"/>
      <c r="AP47" s="13"/>
      <c r="AQ47" s="13"/>
      <c r="AR47" s="15">
        <v>2019.0</v>
      </c>
      <c r="AS47" s="13"/>
      <c r="AT47" s="13"/>
      <c r="AU47" s="13"/>
      <c r="AV47" s="12"/>
      <c r="AW47" s="12"/>
      <c r="AX47" s="12"/>
      <c r="AY47" s="16">
        <f t="shared" ref="AY47:AY48" si="5">COUNTA(E47:AX47)</f>
        <v>5</v>
      </c>
    </row>
    <row r="48" ht="18.0" customHeight="1">
      <c r="A48" s="8">
        <v>47.0</v>
      </c>
      <c r="B48" s="17" t="s">
        <v>111</v>
      </c>
      <c r="C48" s="10" t="s">
        <v>88</v>
      </c>
      <c r="D48" s="33" t="s">
        <v>49</v>
      </c>
      <c r="E48" s="12"/>
      <c r="F48" s="14">
        <v>2016.0</v>
      </c>
      <c r="G48" s="12"/>
      <c r="H48" s="12"/>
      <c r="I48" s="13"/>
      <c r="J48" s="13"/>
      <c r="K48" s="13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5">
        <v>2019.0</v>
      </c>
      <c r="Y48" s="12"/>
      <c r="Z48" s="12"/>
      <c r="AA48" s="12"/>
      <c r="AB48" s="12"/>
      <c r="AC48" s="12"/>
      <c r="AD48" s="12"/>
      <c r="AE48" s="12"/>
      <c r="AF48" s="12"/>
      <c r="AG48" s="12"/>
      <c r="AH48" s="12" t="s">
        <v>112</v>
      </c>
      <c r="AI48" s="12"/>
      <c r="AJ48" s="23">
        <v>45818.0</v>
      </c>
      <c r="AK48" s="12">
        <v>2023.0</v>
      </c>
      <c r="AL48" s="12"/>
      <c r="AM48" s="12"/>
      <c r="AN48" s="12"/>
      <c r="AO48" s="12"/>
      <c r="AP48" s="13"/>
      <c r="AQ48" s="13"/>
      <c r="AR48" s="13">
        <v>2021.0</v>
      </c>
      <c r="AS48" s="13"/>
      <c r="AT48" s="13"/>
      <c r="AU48" s="13"/>
      <c r="AV48" s="12"/>
      <c r="AW48" s="12"/>
      <c r="AX48" s="12"/>
      <c r="AY48" s="16">
        <f t="shared" si="5"/>
        <v>6</v>
      </c>
    </row>
    <row r="49" ht="18.0" customHeight="1">
      <c r="A49" s="8">
        <v>48.0</v>
      </c>
      <c r="B49" s="17" t="s">
        <v>113</v>
      </c>
      <c r="C49" s="10" t="s">
        <v>48</v>
      </c>
      <c r="D49" s="33" t="s">
        <v>51</v>
      </c>
      <c r="E49" s="12"/>
      <c r="F49" s="12"/>
      <c r="G49" s="18">
        <v>2025.0</v>
      </c>
      <c r="H49" s="38"/>
      <c r="I49" s="27">
        <v>2025.0</v>
      </c>
      <c r="J49" s="47"/>
      <c r="K49" s="13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22" t="s">
        <v>63</v>
      </c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23">
        <v>45802.0</v>
      </c>
      <c r="AJ49" s="23">
        <v>45823.0</v>
      </c>
      <c r="AK49" s="48">
        <v>45592.0</v>
      </c>
      <c r="AL49" s="12"/>
      <c r="AM49" s="12"/>
      <c r="AN49" s="12"/>
      <c r="AO49" s="12"/>
      <c r="AP49" s="13"/>
      <c r="AQ49" s="13"/>
      <c r="AR49" s="13">
        <v>2024.0</v>
      </c>
      <c r="AS49" s="13"/>
      <c r="AT49" s="28">
        <v>2025.0</v>
      </c>
      <c r="AU49" s="13"/>
      <c r="AV49" s="12"/>
      <c r="AW49" s="12"/>
      <c r="AX49" s="12"/>
      <c r="AY49" s="16"/>
    </row>
    <row r="50" ht="18.0" customHeight="1">
      <c r="A50" s="8">
        <v>49.0</v>
      </c>
      <c r="B50" s="17" t="s">
        <v>114</v>
      </c>
      <c r="C50" s="10" t="s">
        <v>55</v>
      </c>
      <c r="D50" s="20" t="s">
        <v>51</v>
      </c>
      <c r="E50" s="12"/>
      <c r="F50" s="12"/>
      <c r="G50" s="18">
        <v>2024.0</v>
      </c>
      <c r="H50" s="14"/>
      <c r="I50" s="13"/>
      <c r="J50" s="13"/>
      <c r="K50" s="13"/>
      <c r="L50" s="12"/>
      <c r="M50" s="12"/>
      <c r="N50" s="12">
        <v>2024.0</v>
      </c>
      <c r="O50" s="12"/>
      <c r="P50" s="12"/>
      <c r="Q50" s="12"/>
      <c r="R50" s="12"/>
      <c r="S50" s="12"/>
      <c r="T50" s="12"/>
      <c r="U50" s="12"/>
      <c r="V50" s="15">
        <v>2015.0</v>
      </c>
      <c r="W50" s="12"/>
      <c r="X50" s="12"/>
      <c r="Y50" s="12"/>
      <c r="Z50" s="15">
        <v>2018.0</v>
      </c>
      <c r="AA50" s="12"/>
      <c r="AB50" s="12"/>
      <c r="AC50" s="12"/>
      <c r="AD50" s="12"/>
      <c r="AE50" s="12"/>
      <c r="AF50" s="15">
        <v>2018.0</v>
      </c>
      <c r="AG50" s="12"/>
      <c r="AH50" s="12"/>
      <c r="AI50" s="12"/>
      <c r="AJ50" s="12"/>
      <c r="AK50" s="12"/>
      <c r="AL50" s="12"/>
      <c r="AM50" s="12"/>
      <c r="AN50" s="22">
        <v>2025.0</v>
      </c>
      <c r="AO50" s="12"/>
      <c r="AP50" s="13"/>
      <c r="AQ50" s="27">
        <v>2024.0</v>
      </c>
      <c r="AR50" s="13">
        <v>2021.0</v>
      </c>
      <c r="AS50" s="13"/>
      <c r="AT50" s="13"/>
      <c r="AU50" s="13"/>
      <c r="AV50" s="12"/>
      <c r="AW50" s="12"/>
      <c r="AX50" s="12"/>
      <c r="AY50" s="16">
        <f t="shared" ref="AY50:AY52" si="6">COUNTA(E50:AX50)</f>
        <v>8</v>
      </c>
    </row>
    <row r="51" ht="18.0" customHeight="1">
      <c r="A51" s="8">
        <v>50.0</v>
      </c>
      <c r="B51" s="17" t="s">
        <v>115</v>
      </c>
      <c r="C51" s="10" t="s">
        <v>53</v>
      </c>
      <c r="D51" s="33" t="s">
        <v>49</v>
      </c>
      <c r="E51" s="12"/>
      <c r="F51" s="12"/>
      <c r="G51" s="12"/>
      <c r="H51" s="12"/>
      <c r="I51" s="13"/>
      <c r="J51" s="13"/>
      <c r="K51" s="13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3"/>
      <c r="AR51" s="12"/>
      <c r="AS51" s="12"/>
      <c r="AT51" s="12"/>
      <c r="AU51" s="12"/>
      <c r="AV51" s="12"/>
      <c r="AW51" s="12"/>
      <c r="AX51" s="12"/>
      <c r="AY51" s="16">
        <f t="shared" si="6"/>
        <v>0</v>
      </c>
    </row>
    <row r="52" ht="18.0" customHeight="1">
      <c r="A52" s="8">
        <v>51.0</v>
      </c>
      <c r="B52" s="9" t="s">
        <v>116</v>
      </c>
      <c r="C52" s="10" t="s">
        <v>55</v>
      </c>
      <c r="D52" s="33" t="s">
        <v>49</v>
      </c>
      <c r="E52" s="12"/>
      <c r="F52" s="12"/>
      <c r="G52" s="12"/>
      <c r="H52" s="12"/>
      <c r="I52" s="15">
        <v>2022.0</v>
      </c>
      <c r="J52" s="13"/>
      <c r="K52" s="13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 t="s">
        <v>117</v>
      </c>
      <c r="W52" s="12"/>
      <c r="X52" s="12">
        <v>2022.0</v>
      </c>
      <c r="Y52" s="12"/>
      <c r="Z52" s="12">
        <v>2024.0</v>
      </c>
      <c r="AA52" s="12"/>
      <c r="AB52" s="12"/>
      <c r="AC52" s="12"/>
      <c r="AD52" s="12"/>
      <c r="AE52" s="12"/>
      <c r="AF52" s="12" t="s">
        <v>64</v>
      </c>
      <c r="AG52" s="12"/>
      <c r="AH52" s="12">
        <v>2022.0</v>
      </c>
      <c r="AI52" s="12"/>
      <c r="AJ52" s="12"/>
      <c r="AK52" s="12"/>
      <c r="AL52" s="12"/>
      <c r="AM52" s="12"/>
      <c r="AN52" s="12">
        <v>2023.0</v>
      </c>
      <c r="AO52" s="12">
        <v>2022.0</v>
      </c>
      <c r="AP52" s="13"/>
      <c r="AQ52" s="13"/>
      <c r="AR52" s="13">
        <v>2020.0</v>
      </c>
      <c r="AS52" s="13"/>
      <c r="AT52" s="13">
        <v>2022.0</v>
      </c>
      <c r="AU52" s="13"/>
      <c r="AV52" s="12"/>
      <c r="AW52" s="12"/>
      <c r="AX52" s="12"/>
      <c r="AY52" s="16">
        <f t="shared" si="6"/>
        <v>10</v>
      </c>
    </row>
    <row r="53" ht="18.0" customHeight="1">
      <c r="A53" s="8">
        <v>52.0</v>
      </c>
      <c r="B53" s="9" t="s">
        <v>118</v>
      </c>
      <c r="C53" s="10" t="s">
        <v>48</v>
      </c>
      <c r="D53" s="33" t="s">
        <v>51</v>
      </c>
      <c r="E53" s="12"/>
      <c r="F53" s="12"/>
      <c r="G53" s="12"/>
      <c r="H53" s="12"/>
      <c r="I53" s="13"/>
      <c r="J53" s="13"/>
      <c r="K53" s="13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49">
        <v>45831.0</v>
      </c>
      <c r="AC53" s="12"/>
      <c r="AD53" s="12"/>
      <c r="AE53" s="12"/>
      <c r="AF53" s="12"/>
      <c r="AG53" s="12"/>
      <c r="AH53" s="12"/>
      <c r="AI53" s="12"/>
      <c r="AJ53" s="23">
        <v>45814.0</v>
      </c>
      <c r="AK53" s="12"/>
      <c r="AL53" s="12"/>
      <c r="AM53" s="12"/>
      <c r="AN53" s="12"/>
      <c r="AO53" s="12"/>
      <c r="AP53" s="13"/>
      <c r="AQ53" s="13"/>
      <c r="AR53" s="13"/>
      <c r="AS53" s="13"/>
      <c r="AT53" s="13"/>
      <c r="AU53" s="13"/>
      <c r="AV53" s="12"/>
      <c r="AW53" s="12"/>
      <c r="AX53" s="12"/>
      <c r="AY53" s="16"/>
    </row>
    <row r="54" ht="18.0" customHeight="1">
      <c r="A54" s="8">
        <v>53.0</v>
      </c>
      <c r="B54" s="17" t="s">
        <v>119</v>
      </c>
      <c r="C54" s="10" t="s">
        <v>55</v>
      </c>
      <c r="D54" s="20" t="s">
        <v>51</v>
      </c>
      <c r="E54" s="12"/>
      <c r="F54" s="12"/>
      <c r="G54" s="12"/>
      <c r="H54" s="12"/>
      <c r="I54" s="13"/>
      <c r="J54" s="13"/>
      <c r="K54" s="13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>
        <v>2022.0</v>
      </c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5">
        <v>2019.0</v>
      </c>
      <c r="AM54" s="12"/>
      <c r="AN54" s="12"/>
      <c r="AO54" s="12"/>
      <c r="AP54" s="13"/>
      <c r="AQ54" s="13"/>
      <c r="AR54" s="13">
        <v>2023.0</v>
      </c>
      <c r="AS54" s="13"/>
      <c r="AT54" s="13"/>
      <c r="AU54" s="13"/>
      <c r="AV54" s="12"/>
      <c r="AW54" s="12"/>
      <c r="AX54" s="12"/>
      <c r="AY54" s="16">
        <f t="shared" ref="AY54:AY57" si="7">COUNTA(E54:AX54)</f>
        <v>3</v>
      </c>
    </row>
    <row r="55" ht="18.0" customHeight="1">
      <c r="A55" s="8">
        <v>54.0</v>
      </c>
      <c r="B55" s="9" t="s">
        <v>120</v>
      </c>
      <c r="C55" s="10" t="s">
        <v>55</v>
      </c>
      <c r="D55" s="33" t="s">
        <v>49</v>
      </c>
      <c r="E55" s="12"/>
      <c r="F55" s="12"/>
      <c r="G55" s="12"/>
      <c r="H55" s="12"/>
      <c r="I55" s="13"/>
      <c r="J55" s="15">
        <v>2018.0</v>
      </c>
      <c r="K55" s="13"/>
      <c r="L55" s="12"/>
      <c r="M55" s="12"/>
      <c r="N55" s="12">
        <v>2024.0</v>
      </c>
      <c r="O55" s="12"/>
      <c r="P55" s="12"/>
      <c r="Q55" s="12"/>
      <c r="R55" s="12"/>
      <c r="S55" s="12"/>
      <c r="T55" s="12"/>
      <c r="U55" s="12"/>
      <c r="V55" s="12">
        <v>2023.0</v>
      </c>
      <c r="W55" s="12"/>
      <c r="X55" s="12"/>
      <c r="Y55" s="12"/>
      <c r="Z55" s="12">
        <v>2024.0</v>
      </c>
      <c r="AA55" s="12"/>
      <c r="AB55" s="12">
        <v>2023.0</v>
      </c>
      <c r="AC55" s="12" t="s">
        <v>64</v>
      </c>
      <c r="AD55" s="12"/>
      <c r="AE55" s="12"/>
      <c r="AF55" s="12"/>
      <c r="AG55" s="12"/>
      <c r="AH55" s="12">
        <v>2024.0</v>
      </c>
      <c r="AI55" s="12"/>
      <c r="AJ55" s="12">
        <v>2024.0</v>
      </c>
      <c r="AK55" s="12">
        <v>2023.0</v>
      </c>
      <c r="AL55" s="12"/>
      <c r="AM55" s="13"/>
      <c r="AN55" s="12">
        <v>2023.0</v>
      </c>
      <c r="AO55" s="12"/>
      <c r="AP55" s="13">
        <v>2023.0</v>
      </c>
      <c r="AQ55" s="13"/>
      <c r="AR55" s="13">
        <v>2023.0</v>
      </c>
      <c r="AS55" s="13"/>
      <c r="AT55" s="13">
        <v>2023.0</v>
      </c>
      <c r="AU55" s="13">
        <v>2023.0</v>
      </c>
      <c r="AV55" s="12"/>
      <c r="AW55" s="12"/>
      <c r="AX55" s="12"/>
      <c r="AY55" s="16">
        <f t="shared" si="7"/>
        <v>14</v>
      </c>
    </row>
    <row r="56" ht="18.0" customHeight="1">
      <c r="A56" s="8">
        <v>55.0</v>
      </c>
      <c r="B56" s="9" t="s">
        <v>121</v>
      </c>
      <c r="C56" s="10" t="s">
        <v>55</v>
      </c>
      <c r="D56" s="33" t="s">
        <v>49</v>
      </c>
      <c r="E56" s="43"/>
      <c r="F56" s="12"/>
      <c r="G56" s="12"/>
      <c r="H56" s="12"/>
      <c r="I56" s="13"/>
      <c r="J56" s="13"/>
      <c r="K56" s="15">
        <v>2018.0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>
        <v>2023.0</v>
      </c>
      <c r="W56" s="12"/>
      <c r="X56" s="22">
        <v>2025.0</v>
      </c>
      <c r="Y56" s="12"/>
      <c r="Z56" s="43">
        <v>45031.0</v>
      </c>
      <c r="AA56" s="12"/>
      <c r="AB56" s="12"/>
      <c r="AC56" s="12"/>
      <c r="AD56" s="12"/>
      <c r="AE56" s="12"/>
      <c r="AF56" s="12">
        <v>2017.0</v>
      </c>
      <c r="AG56" s="12"/>
      <c r="AH56" s="12">
        <v>2024.0</v>
      </c>
      <c r="AI56" s="12"/>
      <c r="AJ56" s="12"/>
      <c r="AK56" s="12"/>
      <c r="AL56" s="12"/>
      <c r="AM56" s="12"/>
      <c r="AN56" s="12">
        <v>2023.0</v>
      </c>
      <c r="AO56" s="12"/>
      <c r="AP56" s="13">
        <v>2023.0</v>
      </c>
      <c r="AQ56" s="13"/>
      <c r="AR56" s="13">
        <v>2015.0</v>
      </c>
      <c r="AS56" s="13"/>
      <c r="AT56" s="13">
        <v>2023.0</v>
      </c>
      <c r="AU56" s="13">
        <v>2023.0</v>
      </c>
      <c r="AV56" s="50"/>
      <c r="AW56" s="12"/>
      <c r="AX56" s="12"/>
      <c r="AY56" s="16">
        <f t="shared" si="7"/>
        <v>11</v>
      </c>
    </row>
    <row r="57" ht="18.0" customHeight="1">
      <c r="A57" s="8">
        <v>56.0</v>
      </c>
      <c r="B57" s="17" t="s">
        <v>122</v>
      </c>
      <c r="C57" s="10" t="s">
        <v>62</v>
      </c>
      <c r="D57" s="20" t="s">
        <v>49</v>
      </c>
      <c r="E57" s="12"/>
      <c r="F57" s="14">
        <v>2019.0</v>
      </c>
      <c r="G57" s="12"/>
      <c r="H57" s="12"/>
      <c r="I57" s="13"/>
      <c r="J57" s="15">
        <v>2017.0</v>
      </c>
      <c r="K57" s="13"/>
      <c r="L57" s="12"/>
      <c r="M57" s="12"/>
      <c r="N57" s="12"/>
      <c r="O57" s="12">
        <v>2020.0</v>
      </c>
      <c r="P57" s="12"/>
      <c r="Q57" s="12"/>
      <c r="R57" s="12"/>
      <c r="S57" s="12"/>
      <c r="T57" s="12"/>
      <c r="U57" s="12">
        <v>2015.0</v>
      </c>
      <c r="V57" s="12">
        <v>2019.0</v>
      </c>
      <c r="W57" s="12">
        <v>2016.0</v>
      </c>
      <c r="X57" s="12"/>
      <c r="Y57" s="12"/>
      <c r="Z57" s="12">
        <v>2020.0</v>
      </c>
      <c r="AA57" s="12"/>
      <c r="AB57" s="12"/>
      <c r="AC57" s="12"/>
      <c r="AD57" s="12">
        <v>2016.0</v>
      </c>
      <c r="AE57" s="12"/>
      <c r="AF57" s="12">
        <v>2017.0</v>
      </c>
      <c r="AG57" s="12"/>
      <c r="AH57" s="12" t="s">
        <v>112</v>
      </c>
      <c r="AI57" s="12"/>
      <c r="AJ57" s="12">
        <v>2020.0</v>
      </c>
      <c r="AK57" s="12"/>
      <c r="AL57" s="12"/>
      <c r="AM57" s="12"/>
      <c r="AN57" s="22">
        <v>2025.0</v>
      </c>
      <c r="AO57" s="12"/>
      <c r="AP57" s="13"/>
      <c r="AQ57" s="37">
        <v>2020.0</v>
      </c>
      <c r="AR57" s="13">
        <v>2021.0</v>
      </c>
      <c r="AS57" s="13"/>
      <c r="AT57" s="13">
        <v>2019.0</v>
      </c>
      <c r="AU57" s="13">
        <v>2019.0</v>
      </c>
      <c r="AV57" s="12"/>
      <c r="AW57" s="12"/>
      <c r="AX57" s="12"/>
      <c r="AY57" s="16">
        <f t="shared" si="7"/>
        <v>16</v>
      </c>
    </row>
    <row r="58" ht="18.0" customHeight="1">
      <c r="A58" s="8">
        <v>57.0</v>
      </c>
      <c r="B58" s="17" t="s">
        <v>123</v>
      </c>
      <c r="C58" s="10" t="s">
        <v>48</v>
      </c>
      <c r="D58" s="20" t="s">
        <v>51</v>
      </c>
      <c r="E58" s="12"/>
      <c r="F58" s="12"/>
      <c r="G58" s="12"/>
      <c r="H58" s="40"/>
      <c r="I58" s="13"/>
      <c r="J58" s="13"/>
      <c r="K58" s="13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22">
        <v>2025.0</v>
      </c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48">
        <v>46139.0</v>
      </c>
      <c r="AK58" s="51">
        <v>45789.0</v>
      </c>
      <c r="AL58" s="12"/>
      <c r="AM58" s="12"/>
      <c r="AN58" s="12"/>
      <c r="AO58" s="12"/>
      <c r="AP58" s="13"/>
      <c r="AQ58" s="52">
        <v>46084.0</v>
      </c>
      <c r="AR58" s="13">
        <v>2024.0</v>
      </c>
      <c r="AS58" s="13"/>
      <c r="AT58" s="13">
        <v>2025.0</v>
      </c>
      <c r="AU58" s="28">
        <v>2025.0</v>
      </c>
      <c r="AV58" s="12"/>
      <c r="AW58" s="12"/>
      <c r="AX58" s="12"/>
      <c r="AY58" s="16"/>
    </row>
    <row r="59" ht="18.0" customHeight="1">
      <c r="A59" s="8">
        <v>58.0</v>
      </c>
      <c r="B59" s="31" t="s">
        <v>124</v>
      </c>
      <c r="C59" s="10" t="s">
        <v>88</v>
      </c>
      <c r="D59" s="32" t="s">
        <v>49</v>
      </c>
      <c r="E59" s="12"/>
      <c r="F59" s="12"/>
      <c r="G59" s="12"/>
      <c r="H59" s="12"/>
      <c r="I59" s="13"/>
      <c r="J59" s="13"/>
      <c r="K59" s="13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5">
        <v>2019.0</v>
      </c>
      <c r="AC59" s="12"/>
      <c r="AD59" s="12"/>
      <c r="AE59" s="12"/>
      <c r="AF59" s="12"/>
      <c r="AG59" s="12"/>
      <c r="AH59" s="12"/>
      <c r="AI59" s="12"/>
      <c r="AJ59" s="12"/>
      <c r="AK59" s="12"/>
      <c r="AL59" s="15">
        <v>2019.0</v>
      </c>
      <c r="AM59" s="12"/>
      <c r="AN59" s="12"/>
      <c r="AO59" s="12"/>
      <c r="AP59" s="13"/>
      <c r="AQ59" s="13"/>
      <c r="AR59" s="13">
        <v>2022.0</v>
      </c>
      <c r="AS59" s="13"/>
      <c r="AT59" s="13"/>
      <c r="AU59" s="13"/>
      <c r="AV59" s="12"/>
      <c r="AW59" s="12"/>
      <c r="AX59" s="12"/>
      <c r="AY59" s="16">
        <f t="shared" ref="AY59:AY66" si="8">COUNTA(E59:AX59)</f>
        <v>3</v>
      </c>
    </row>
    <row r="60" ht="30.0" customHeight="1">
      <c r="A60" s="8">
        <v>59.0</v>
      </c>
      <c r="B60" s="31" t="s">
        <v>125</v>
      </c>
      <c r="C60" s="10" t="s">
        <v>126</v>
      </c>
      <c r="D60" s="32" t="s">
        <v>49</v>
      </c>
      <c r="E60" s="14">
        <v>2016.0</v>
      </c>
      <c r="F60" s="14">
        <v>2018.0</v>
      </c>
      <c r="G60" s="12"/>
      <c r="H60" s="12"/>
      <c r="I60" s="13"/>
      <c r="J60" s="13"/>
      <c r="K60" s="13"/>
      <c r="L60" s="12"/>
      <c r="M60" s="12"/>
      <c r="N60" s="12">
        <v>2020.0</v>
      </c>
      <c r="O60" s="12">
        <v>2020.0</v>
      </c>
      <c r="P60" s="12"/>
      <c r="Q60" s="12"/>
      <c r="R60" s="12"/>
      <c r="S60" s="12"/>
      <c r="T60" s="12"/>
      <c r="U60" s="12"/>
      <c r="V60" s="12"/>
      <c r="W60" s="15">
        <v>2016.0</v>
      </c>
      <c r="X60" s="12"/>
      <c r="Y60" s="12"/>
      <c r="Z60" s="15">
        <v>2019.0</v>
      </c>
      <c r="AA60" s="12"/>
      <c r="AB60" s="12"/>
      <c r="AC60" s="12"/>
      <c r="AD60" s="12"/>
      <c r="AE60" s="12"/>
      <c r="AF60" s="12" t="s">
        <v>127</v>
      </c>
      <c r="AG60" s="12"/>
      <c r="AH60" s="15">
        <v>2012.0</v>
      </c>
      <c r="AI60" s="12"/>
      <c r="AJ60" s="12">
        <v>2024.0</v>
      </c>
      <c r="AK60" s="12"/>
      <c r="AL60" s="15">
        <v>2016.0</v>
      </c>
      <c r="AM60" s="15">
        <v>2012.0</v>
      </c>
      <c r="AN60" s="15">
        <v>2015.0</v>
      </c>
      <c r="AO60" s="12"/>
      <c r="AP60" s="13"/>
      <c r="AQ60" s="15">
        <v>2016.0</v>
      </c>
      <c r="AR60" s="15">
        <v>2017.0</v>
      </c>
      <c r="AS60" s="13"/>
      <c r="AT60" s="13"/>
      <c r="AU60" s="13"/>
      <c r="AV60" s="12"/>
      <c r="AW60" s="12"/>
      <c r="AX60" s="12"/>
      <c r="AY60" s="16">
        <f t="shared" si="8"/>
        <v>14</v>
      </c>
    </row>
    <row r="61" ht="18.0" customHeight="1">
      <c r="A61" s="8">
        <v>60.0</v>
      </c>
      <c r="B61" s="9" t="s">
        <v>128</v>
      </c>
      <c r="C61" s="10" t="s">
        <v>53</v>
      </c>
      <c r="D61" s="33" t="s">
        <v>49</v>
      </c>
      <c r="E61" s="12"/>
      <c r="F61" s="12"/>
      <c r="G61" s="12"/>
      <c r="H61" s="12"/>
      <c r="I61" s="13"/>
      <c r="J61" s="15">
        <v>2018.0</v>
      </c>
      <c r="K61" s="15">
        <v>2015.0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5">
        <v>2018.0</v>
      </c>
      <c r="W61" s="12"/>
      <c r="X61" s="12">
        <v>2022.0</v>
      </c>
      <c r="Y61" s="12"/>
      <c r="Z61" s="12">
        <v>2020.0</v>
      </c>
      <c r="AA61" s="12"/>
      <c r="AB61" s="12"/>
      <c r="AC61" s="12"/>
      <c r="AD61" s="12"/>
      <c r="AE61" s="12"/>
      <c r="AF61" s="15">
        <v>2017.0</v>
      </c>
      <c r="AG61" s="12"/>
      <c r="AH61" s="12"/>
      <c r="AI61" s="12"/>
      <c r="AJ61" s="12"/>
      <c r="AK61" s="15">
        <v>2019.0</v>
      </c>
      <c r="AL61" s="12"/>
      <c r="AM61" s="12">
        <v>2023.0</v>
      </c>
      <c r="AN61" s="15">
        <v>2017.0</v>
      </c>
      <c r="AO61" s="15">
        <v>2017.0</v>
      </c>
      <c r="AP61" s="12"/>
      <c r="AQ61" s="13"/>
      <c r="AR61" s="15">
        <v>2019.0</v>
      </c>
      <c r="AS61" s="12"/>
      <c r="AT61" s="15" t="s">
        <v>83</v>
      </c>
      <c r="AU61" s="12"/>
      <c r="AV61" s="12"/>
      <c r="AW61" s="12"/>
      <c r="AX61" s="12"/>
      <c r="AY61" s="16">
        <f t="shared" si="8"/>
        <v>12</v>
      </c>
    </row>
    <row r="62" ht="18.0" customHeight="1">
      <c r="A62" s="8">
        <v>61.0</v>
      </c>
      <c r="B62" s="17" t="s">
        <v>129</v>
      </c>
      <c r="C62" s="10" t="s">
        <v>53</v>
      </c>
      <c r="D62" s="33" t="s">
        <v>49</v>
      </c>
      <c r="E62" s="12"/>
      <c r="F62" s="12"/>
      <c r="G62" s="12"/>
      <c r="H62" s="12"/>
      <c r="I62" s="13"/>
      <c r="J62" s="15">
        <v>2015.0</v>
      </c>
      <c r="K62" s="15">
        <v>2015.0</v>
      </c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>
        <v>2016.0</v>
      </c>
      <c r="W62" s="12"/>
      <c r="X62" s="12">
        <v>2019.0</v>
      </c>
      <c r="Y62" s="12"/>
      <c r="Z62" s="12"/>
      <c r="AA62" s="12"/>
      <c r="AB62" s="12">
        <v>2019.0</v>
      </c>
      <c r="AC62" s="12">
        <v>2023.0</v>
      </c>
      <c r="AD62" s="12"/>
      <c r="AE62" s="12"/>
      <c r="AF62" s="12">
        <v>2016.0</v>
      </c>
      <c r="AG62" s="12"/>
      <c r="AH62" s="12"/>
      <c r="AI62" s="12"/>
      <c r="AJ62" s="12"/>
      <c r="AK62" s="12"/>
      <c r="AL62" s="12"/>
      <c r="AM62" s="12"/>
      <c r="AN62" s="12">
        <v>2017.0</v>
      </c>
      <c r="AO62" s="12"/>
      <c r="AP62" s="12"/>
      <c r="AQ62" s="18">
        <v>2020.0</v>
      </c>
      <c r="AR62" s="12">
        <v>2022.0</v>
      </c>
      <c r="AS62" s="12"/>
      <c r="AT62" s="12">
        <v>2022.0</v>
      </c>
      <c r="AU62" s="12"/>
      <c r="AV62" s="12"/>
      <c r="AW62" s="12"/>
      <c r="AX62" s="12"/>
      <c r="AY62" s="16">
        <f t="shared" si="8"/>
        <v>11</v>
      </c>
    </row>
    <row r="63" ht="18.0" customHeight="1">
      <c r="A63" s="8">
        <v>62.0</v>
      </c>
      <c r="B63" s="9" t="s">
        <v>130</v>
      </c>
      <c r="C63" s="10" t="s">
        <v>48</v>
      </c>
      <c r="D63" s="33" t="s">
        <v>49</v>
      </c>
      <c r="E63" s="12"/>
      <c r="F63" s="12"/>
      <c r="G63" s="12"/>
      <c r="H63" s="12"/>
      <c r="I63" s="13"/>
      <c r="J63" s="13"/>
      <c r="K63" s="13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>
        <v>2022.0</v>
      </c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6">
        <f t="shared" si="8"/>
        <v>1</v>
      </c>
    </row>
    <row r="64" ht="30.0" customHeight="1">
      <c r="A64" s="8">
        <v>63.0</v>
      </c>
      <c r="B64" s="31" t="s">
        <v>131</v>
      </c>
      <c r="C64" s="53" t="s">
        <v>132</v>
      </c>
      <c r="D64" s="32" t="s">
        <v>49</v>
      </c>
      <c r="E64" s="12"/>
      <c r="F64" s="12"/>
      <c r="G64" s="12"/>
      <c r="H64" s="12"/>
      <c r="I64" s="15">
        <v>2022.0</v>
      </c>
      <c r="J64" s="13"/>
      <c r="K64" s="13"/>
      <c r="L64" s="12"/>
      <c r="M64" s="12"/>
      <c r="N64" s="12"/>
      <c r="O64" s="12">
        <v>2020.0</v>
      </c>
      <c r="P64" s="12"/>
      <c r="Q64" s="12">
        <v>2020.0</v>
      </c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5">
        <v>2015.0</v>
      </c>
      <c r="AI64" s="12"/>
      <c r="AJ64" s="12"/>
      <c r="AK64" s="12"/>
      <c r="AL64" s="12"/>
      <c r="AM64" s="12"/>
      <c r="AN64" s="12"/>
      <c r="AO64" s="12"/>
      <c r="AP64" s="12"/>
      <c r="AQ64" s="15">
        <v>2015.0</v>
      </c>
      <c r="AR64" s="15">
        <v>2019.0</v>
      </c>
      <c r="AS64" s="12"/>
      <c r="AT64" s="13">
        <v>2005.0</v>
      </c>
      <c r="AU64" s="12">
        <v>2006.0</v>
      </c>
      <c r="AV64" s="12"/>
      <c r="AW64" s="15">
        <v>2018.0</v>
      </c>
      <c r="AX64" s="12"/>
      <c r="AY64" s="16">
        <f t="shared" si="8"/>
        <v>9</v>
      </c>
    </row>
    <row r="65" ht="18.0" customHeight="1">
      <c r="A65" s="8">
        <v>64.0</v>
      </c>
      <c r="B65" s="9" t="s">
        <v>133</v>
      </c>
      <c r="C65" s="10" t="s">
        <v>62</v>
      </c>
      <c r="D65" s="33" t="s">
        <v>49</v>
      </c>
      <c r="E65" s="12"/>
      <c r="F65" s="12"/>
      <c r="G65" s="12"/>
      <c r="H65" s="14"/>
      <c r="I65" s="13"/>
      <c r="J65" s="15">
        <v>2017.0</v>
      </c>
      <c r="K65" s="15">
        <v>2019.0</v>
      </c>
      <c r="L65" s="12"/>
      <c r="M65" s="12"/>
      <c r="N65" s="12"/>
      <c r="O65" s="12"/>
      <c r="P65" s="12"/>
      <c r="Q65" s="12"/>
      <c r="R65" s="12"/>
      <c r="S65" s="12"/>
      <c r="T65" s="12"/>
      <c r="U65" s="12">
        <v>2015.0</v>
      </c>
      <c r="V65" s="12"/>
      <c r="W65" s="12"/>
      <c r="X65" s="12">
        <v>2022.0</v>
      </c>
      <c r="Y65" s="12"/>
      <c r="Z65" s="12">
        <v>2019.0</v>
      </c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>
        <v>2018.0</v>
      </c>
      <c r="AN65" s="12">
        <v>2016.0</v>
      </c>
      <c r="AO65" s="12">
        <v>2015.0</v>
      </c>
      <c r="AP65" s="12"/>
      <c r="AQ65" s="18">
        <v>2020.0</v>
      </c>
      <c r="AR65" s="12">
        <v>2019.0</v>
      </c>
      <c r="AS65" s="12"/>
      <c r="AT65" s="12">
        <v>2017.0</v>
      </c>
      <c r="AU65" s="12"/>
      <c r="AV65" s="12"/>
      <c r="AW65" s="12"/>
      <c r="AX65" s="12">
        <v>2017.0</v>
      </c>
      <c r="AY65" s="16">
        <f t="shared" si="8"/>
        <v>12</v>
      </c>
    </row>
    <row r="66" ht="18.0" customHeight="1">
      <c r="A66" s="8">
        <v>65.0</v>
      </c>
      <c r="B66" s="41" t="s">
        <v>134</v>
      </c>
      <c r="C66" s="10" t="s">
        <v>48</v>
      </c>
      <c r="D66" s="33" t="s">
        <v>49</v>
      </c>
      <c r="E66" s="12"/>
      <c r="F66" s="12"/>
      <c r="G66" s="18">
        <v>2024.0</v>
      </c>
      <c r="H66" s="18">
        <v>2022.0</v>
      </c>
      <c r="I66" s="15">
        <v>2022.0</v>
      </c>
      <c r="J66" s="13"/>
      <c r="K66" s="13"/>
      <c r="L66" s="12"/>
      <c r="M66" s="12"/>
      <c r="N66" s="12">
        <v>2024.0</v>
      </c>
      <c r="O66" s="12"/>
      <c r="P66" s="12"/>
      <c r="Q66" s="12"/>
      <c r="R66" s="12"/>
      <c r="S66" s="12"/>
      <c r="T66" s="12"/>
      <c r="U66" s="12"/>
      <c r="V66" s="12"/>
      <c r="W66" s="12"/>
      <c r="X66" s="22">
        <v>2025.0</v>
      </c>
      <c r="Y66" s="12"/>
      <c r="Z66" s="12"/>
      <c r="AA66" s="12"/>
      <c r="AB66" s="12"/>
      <c r="AC66" s="12"/>
      <c r="AD66" s="12"/>
      <c r="AE66" s="12"/>
      <c r="AF66" s="12"/>
      <c r="AG66" s="12"/>
      <c r="AH66" s="12">
        <v>2022.0</v>
      </c>
      <c r="AI66" s="12"/>
      <c r="AJ66" s="12"/>
      <c r="AK66" s="12"/>
      <c r="AL66" s="12"/>
      <c r="AM66" s="12"/>
      <c r="AN66" s="12">
        <v>2022.0</v>
      </c>
      <c r="AO66" s="12"/>
      <c r="AP66" s="12"/>
      <c r="AQ66" s="12"/>
      <c r="AR66" s="12">
        <v>2020.0</v>
      </c>
      <c r="AS66" s="12"/>
      <c r="AT66" s="12">
        <v>2025.0</v>
      </c>
      <c r="AU66" s="12"/>
      <c r="AV66" s="12"/>
      <c r="AW66" s="12"/>
      <c r="AX66" s="12"/>
      <c r="AY66" s="16">
        <f t="shared" si="8"/>
        <v>9</v>
      </c>
    </row>
    <row r="67" ht="18.0" hidden="1" customHeight="1">
      <c r="A67" s="54"/>
      <c r="B67" s="54"/>
      <c r="C67" s="55" t="s">
        <v>135</v>
      </c>
      <c r="D67" s="56"/>
      <c r="E67" s="16">
        <f t="shared" ref="E67:F67" si="9">COUNTBLANK(E12:E65)</f>
        <v>53</v>
      </c>
      <c r="F67" s="16">
        <f t="shared" si="9"/>
        <v>51</v>
      </c>
      <c r="G67" s="16"/>
      <c r="H67" s="16">
        <f>COUNTBLANK(H12:H66)</f>
        <v>54</v>
      </c>
      <c r="I67" s="16">
        <f t="shared" ref="I67:K67" si="10">COUNTBLANK(I12:I65)</f>
        <v>42</v>
      </c>
      <c r="J67" s="16">
        <f t="shared" si="10"/>
        <v>38</v>
      </c>
      <c r="K67" s="16">
        <f t="shared" si="10"/>
        <v>40</v>
      </c>
      <c r="L67" s="16"/>
      <c r="M67" s="16"/>
      <c r="N67" s="16">
        <f>COUNTBLANK(N12:N66)</f>
        <v>45</v>
      </c>
      <c r="O67" s="16">
        <f t="shared" ref="O67:S67" si="11">COUNTBLANK(O12:O65)</f>
        <v>49</v>
      </c>
      <c r="P67" s="16">
        <f t="shared" si="11"/>
        <v>52</v>
      </c>
      <c r="Q67" s="16">
        <f t="shared" si="11"/>
        <v>52</v>
      </c>
      <c r="R67" s="16">
        <f t="shared" si="11"/>
        <v>54</v>
      </c>
      <c r="S67" s="16">
        <f t="shared" si="11"/>
        <v>54</v>
      </c>
      <c r="T67" s="16"/>
      <c r="U67" s="16">
        <f t="shared" ref="U67:W67" si="12">COUNTBLANK(U12:U65)</f>
        <v>48</v>
      </c>
      <c r="V67" s="16">
        <f t="shared" si="12"/>
        <v>39</v>
      </c>
      <c r="W67" s="16">
        <f t="shared" si="12"/>
        <v>47</v>
      </c>
      <c r="X67" s="16">
        <f>COUNTBLANK(X12:X66)</f>
        <v>38</v>
      </c>
      <c r="Y67" s="16"/>
      <c r="Z67" s="16">
        <f>COUNTBLANK(Z12:Z65)</f>
        <v>32</v>
      </c>
      <c r="AA67" s="16"/>
      <c r="AB67" s="16">
        <f t="shared" ref="AB67:AH67" si="13">COUNTBLANK(AB12:AB65)</f>
        <v>36</v>
      </c>
      <c r="AC67" s="16">
        <f t="shared" si="13"/>
        <v>47</v>
      </c>
      <c r="AD67" s="16">
        <f t="shared" si="13"/>
        <v>51</v>
      </c>
      <c r="AE67" s="16">
        <f t="shared" si="13"/>
        <v>54</v>
      </c>
      <c r="AF67" s="16">
        <f t="shared" si="13"/>
        <v>38</v>
      </c>
      <c r="AG67" s="16">
        <f t="shared" si="13"/>
        <v>52</v>
      </c>
      <c r="AH67" s="16">
        <f t="shared" si="13"/>
        <v>37</v>
      </c>
      <c r="AI67" s="16"/>
      <c r="AJ67" s="16">
        <f t="shared" ref="AJ67:AS67" si="14">COUNTBLANK(AJ12:AJ65)</f>
        <v>32</v>
      </c>
      <c r="AK67" s="16">
        <f t="shared" si="14"/>
        <v>30</v>
      </c>
      <c r="AL67" s="16">
        <f t="shared" si="14"/>
        <v>47</v>
      </c>
      <c r="AM67" s="16">
        <f t="shared" si="14"/>
        <v>46</v>
      </c>
      <c r="AN67" s="16">
        <f t="shared" si="14"/>
        <v>36</v>
      </c>
      <c r="AO67" s="16">
        <f t="shared" si="14"/>
        <v>45</v>
      </c>
      <c r="AP67" s="16">
        <f t="shared" si="14"/>
        <v>47</v>
      </c>
      <c r="AQ67" s="16">
        <f t="shared" si="14"/>
        <v>34</v>
      </c>
      <c r="AR67" s="16">
        <f t="shared" si="14"/>
        <v>9</v>
      </c>
      <c r="AS67" s="16">
        <f t="shared" si="14"/>
        <v>54</v>
      </c>
      <c r="AT67" s="16">
        <f>COUNTBLANK(AT12:AT66)</f>
        <v>33</v>
      </c>
      <c r="AU67" s="16">
        <f>COUNTBLANK(AU12:AU65)</f>
        <v>43</v>
      </c>
      <c r="AV67" s="16"/>
      <c r="AW67" s="16">
        <f t="shared" ref="AW67:AX67" si="15">COUNTBLANK(AW12:AW65)</f>
        <v>52</v>
      </c>
      <c r="AX67" s="16">
        <f t="shared" si="15"/>
        <v>52</v>
      </c>
      <c r="AY67" s="54"/>
    </row>
    <row r="68" ht="18.0" hidden="1" customHeight="1">
      <c r="A68" s="54"/>
      <c r="B68" s="54"/>
      <c r="C68" s="55" t="s">
        <v>127</v>
      </c>
      <c r="D68" s="56"/>
      <c r="E68" s="16">
        <f t="shared" ref="E68:F68" si="16">COUNTA(E3:E67)</f>
        <v>3</v>
      </c>
      <c r="F68" s="16">
        <f t="shared" si="16"/>
        <v>4</v>
      </c>
      <c r="G68" s="16"/>
      <c r="H68" s="16">
        <f t="shared" ref="H68:K68" si="17">COUNTA(H3:H67)</f>
        <v>3</v>
      </c>
      <c r="I68" s="16">
        <f t="shared" si="17"/>
        <v>17</v>
      </c>
      <c r="J68" s="16">
        <f t="shared" si="17"/>
        <v>20</v>
      </c>
      <c r="K68" s="16">
        <f t="shared" si="17"/>
        <v>17</v>
      </c>
      <c r="L68" s="16"/>
      <c r="M68" s="16"/>
      <c r="N68" s="16">
        <f t="shared" ref="N68:S68" si="18">COUNTA(N3:N67)</f>
        <v>16</v>
      </c>
      <c r="O68" s="16">
        <f t="shared" si="18"/>
        <v>6</v>
      </c>
      <c r="P68" s="16">
        <f t="shared" si="18"/>
        <v>4</v>
      </c>
      <c r="Q68" s="16">
        <f t="shared" si="18"/>
        <v>3</v>
      </c>
      <c r="R68" s="16">
        <f t="shared" si="18"/>
        <v>1</v>
      </c>
      <c r="S68" s="16">
        <f t="shared" si="18"/>
        <v>1</v>
      </c>
      <c r="T68" s="16"/>
      <c r="U68" s="16">
        <f t="shared" ref="U68:X68" si="19">COUNTA(U3:U67)</f>
        <v>7</v>
      </c>
      <c r="V68" s="16">
        <f t="shared" si="19"/>
        <v>18</v>
      </c>
      <c r="W68" s="16">
        <f t="shared" si="19"/>
        <v>8</v>
      </c>
      <c r="X68" s="16">
        <f t="shared" si="19"/>
        <v>20</v>
      </c>
      <c r="Y68" s="16"/>
      <c r="Z68" s="16">
        <f>COUNTA(Z3:Z67)</f>
        <v>26</v>
      </c>
      <c r="AA68" s="16"/>
      <c r="AB68" s="16">
        <f t="shared" ref="AB68:AH68" si="20">COUNTA(AB3:AB67)</f>
        <v>23</v>
      </c>
      <c r="AC68" s="16">
        <f t="shared" si="20"/>
        <v>11</v>
      </c>
      <c r="AD68" s="16">
        <f t="shared" si="20"/>
        <v>5</v>
      </c>
      <c r="AE68" s="16">
        <f t="shared" si="20"/>
        <v>1</v>
      </c>
      <c r="AF68" s="16">
        <f t="shared" si="20"/>
        <v>20</v>
      </c>
      <c r="AG68" s="16">
        <f t="shared" si="20"/>
        <v>3</v>
      </c>
      <c r="AH68" s="16">
        <f t="shared" si="20"/>
        <v>23</v>
      </c>
      <c r="AI68" s="16"/>
      <c r="AJ68" s="16">
        <f t="shared" ref="AJ68:AU68" si="21">COUNTA(AJ3:AJ67)</f>
        <v>29</v>
      </c>
      <c r="AK68" s="16">
        <f t="shared" si="21"/>
        <v>30</v>
      </c>
      <c r="AL68" s="16">
        <f t="shared" si="21"/>
        <v>9</v>
      </c>
      <c r="AM68" s="16">
        <f t="shared" si="21"/>
        <v>11</v>
      </c>
      <c r="AN68" s="16">
        <f t="shared" si="21"/>
        <v>24</v>
      </c>
      <c r="AO68" s="16">
        <f t="shared" si="21"/>
        <v>11</v>
      </c>
      <c r="AP68" s="16">
        <f t="shared" si="21"/>
        <v>9</v>
      </c>
      <c r="AQ68" s="16">
        <f t="shared" si="21"/>
        <v>26</v>
      </c>
      <c r="AR68" s="16">
        <f t="shared" si="21"/>
        <v>55</v>
      </c>
      <c r="AS68" s="16">
        <f t="shared" si="21"/>
        <v>1</v>
      </c>
      <c r="AT68" s="16">
        <f t="shared" si="21"/>
        <v>29</v>
      </c>
      <c r="AU68" s="16">
        <f t="shared" si="21"/>
        <v>15</v>
      </c>
      <c r="AV68" s="16"/>
      <c r="AW68" s="16">
        <f t="shared" ref="AW68:AX68" si="22">COUNTA(AW3:AW67)</f>
        <v>3</v>
      </c>
      <c r="AX68" s="16">
        <f t="shared" si="22"/>
        <v>3</v>
      </c>
      <c r="AY68" s="54"/>
    </row>
    <row r="69" ht="15.75" customHeight="1">
      <c r="M69" s="57" t="s">
        <v>136</v>
      </c>
      <c r="N69" s="57" t="s">
        <v>136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:id="rId1" ref="N3"/>
    <hyperlink r:id="rId2" ref="AQ3"/>
    <hyperlink r:id="rId3" ref="G4"/>
    <hyperlink r:id="rId4" ref="N4"/>
    <hyperlink r:id="rId5" ref="G5"/>
    <hyperlink r:id="rId6" ref="I5"/>
    <hyperlink r:id="rId7" ref="N5"/>
    <hyperlink r:id="rId8" ref="AQ5"/>
    <hyperlink r:id="rId9" ref="N8"/>
    <hyperlink r:id="rId10" ref="AQ8"/>
    <hyperlink r:id="rId11" ref="G10"/>
    <hyperlink r:id="rId12" ref="H10"/>
    <hyperlink r:id="rId13" ref="N10"/>
    <hyperlink r:id="rId14" ref="N15"/>
    <hyperlink r:id="rId15" ref="N19"/>
    <hyperlink r:id="rId16" ref="G21"/>
    <hyperlink r:id="rId17" ref="J21"/>
    <hyperlink r:id="rId18" ref="G22"/>
    <hyperlink r:id="rId19" ref="AQ22"/>
    <hyperlink r:id="rId20" ref="AR22"/>
    <hyperlink r:id="rId21" ref="G23"/>
    <hyperlink r:id="rId22" ref="AQ23"/>
    <hyperlink r:id="rId23" ref="G25"/>
    <hyperlink r:id="rId24" ref="AQ28"/>
    <hyperlink r:id="rId25" ref="G30"/>
    <hyperlink r:id="rId26" ref="AQ30"/>
    <hyperlink r:id="rId27" ref="AR30"/>
    <hyperlink r:id="rId28" ref="G33"/>
    <hyperlink r:id="rId29" ref="I34"/>
    <hyperlink r:id="rId30" ref="M34"/>
    <hyperlink r:id="rId31" ref="J35"/>
    <hyperlink r:id="rId32" ref="G37"/>
    <hyperlink r:id="rId33" ref="AQ37"/>
    <hyperlink r:id="rId34" ref="AQ40"/>
    <hyperlink r:id="rId35" ref="G41"/>
    <hyperlink r:id="rId36" ref="J45"/>
    <hyperlink r:id="rId37" ref="I47"/>
    <hyperlink r:id="rId38" ref="J47"/>
    <hyperlink r:id="rId39" ref="G49"/>
    <hyperlink r:id="rId40" ref="I49"/>
    <hyperlink r:id="rId41" ref="G50"/>
    <hyperlink r:id="rId42" ref="AQ50"/>
    <hyperlink r:id="rId43" ref="AQ57"/>
    <hyperlink r:id="rId44" ref="AQ62"/>
    <hyperlink r:id="rId45" ref="AQ65"/>
    <hyperlink r:id="rId46" ref="G66"/>
    <hyperlink r:id="rId47" ref="H66"/>
  </hyperlinks>
  <printOptions/>
  <pageMargins bottom="0.75" footer="0.0" header="0.0" left="0.7" right="0.7" top="0.75"/>
  <pageSetup orientation="landscape"/>
  <drawing r:id="rId4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3.86"/>
    <col customWidth="1" min="2" max="2" width="5.29"/>
    <col customWidth="1" min="3" max="3" width="53.14"/>
    <col customWidth="1" min="4" max="4" width="21.71"/>
    <col customWidth="1" min="5" max="5" width="23.43"/>
    <col customWidth="1" min="6" max="6" width="25.0"/>
    <col customWidth="1" min="7" max="7" width="14.57"/>
    <col customWidth="1" min="8" max="8" width="12.57"/>
    <col customWidth="1" min="9" max="9" width="11.29"/>
    <col customWidth="1" min="10" max="10" width="11.57"/>
    <col customWidth="1" min="11" max="11" width="15.0"/>
    <col customWidth="1" min="12" max="12" width="12.0"/>
    <col customWidth="1" min="13" max="13" width="14.86"/>
    <col customWidth="1" min="14" max="14" width="12.86"/>
    <col customWidth="1" min="15" max="15" width="11.57"/>
    <col customWidth="1" min="16" max="16" width="14.57"/>
    <col customWidth="1" min="17" max="17" width="11.57"/>
    <col customWidth="1" min="18" max="18" width="15.71"/>
    <col customWidth="1" min="19" max="19" width="12.0"/>
    <col customWidth="1" min="20" max="20" width="14.57"/>
    <col customWidth="1" min="21" max="21" width="12.57"/>
    <col customWidth="1" min="22" max="22" width="11.57"/>
    <col customWidth="1" min="23" max="23" width="21.71"/>
    <col customWidth="1" min="24" max="24" width="16.29"/>
    <col customWidth="1" min="25" max="25" width="20.57"/>
    <col customWidth="1" min="26" max="26" width="15.43"/>
    <col customWidth="1" min="27" max="27" width="16.29"/>
    <col customWidth="1" min="28" max="28" width="18.43"/>
    <col customWidth="1" min="29" max="29" width="18.71"/>
    <col customWidth="1" min="30" max="30" width="12.57"/>
    <col customWidth="1" min="31" max="31" width="24.43"/>
    <col customWidth="1" min="32" max="32" width="19.57"/>
    <col customWidth="1" min="33" max="33" width="26.43"/>
    <col customWidth="1" min="34" max="34" width="12.71"/>
    <col customWidth="1" min="35" max="35" width="17.0"/>
    <col customWidth="1" min="36" max="36" width="12.71"/>
    <col customWidth="1" min="37" max="37" width="14.0"/>
    <col customWidth="1" min="38" max="38" width="13.86"/>
    <col customWidth="1" min="39" max="39" width="12.71"/>
    <col customWidth="1" min="40" max="40" width="14.14"/>
    <col customWidth="1" min="41" max="41" width="8.14"/>
    <col customWidth="1" min="42" max="42" width="19.14"/>
    <col customWidth="1" min="43" max="43" width="12.71"/>
  </cols>
  <sheetData>
    <row r="1" ht="16.5" customHeight="1">
      <c r="A1" s="58"/>
      <c r="B1" s="58"/>
      <c r="C1" s="58"/>
      <c r="D1" s="59">
        <v>2015.0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1"/>
      <c r="T1" s="62">
        <v>2016.0</v>
      </c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1"/>
      <c r="AH1" s="63">
        <v>2017.0</v>
      </c>
      <c r="AI1" s="60"/>
      <c r="AJ1" s="60"/>
      <c r="AK1" s="60"/>
      <c r="AL1" s="60"/>
      <c r="AM1" s="60"/>
      <c r="AN1" s="60"/>
      <c r="AO1" s="60"/>
      <c r="AP1" s="60"/>
      <c r="AQ1" s="61"/>
    </row>
    <row r="2">
      <c r="A2" s="64"/>
      <c r="B2" s="64"/>
      <c r="C2" s="64"/>
      <c r="D2" s="65" t="s">
        <v>137</v>
      </c>
      <c r="E2" s="66" t="s">
        <v>138</v>
      </c>
      <c r="F2" s="66" t="s">
        <v>17</v>
      </c>
      <c r="G2" s="66" t="s">
        <v>7</v>
      </c>
      <c r="H2" s="66" t="s">
        <v>4</v>
      </c>
      <c r="I2" s="66" t="s">
        <v>139</v>
      </c>
      <c r="J2" s="66" t="s">
        <v>20</v>
      </c>
      <c r="K2" s="66" t="s">
        <v>30</v>
      </c>
      <c r="L2" s="66" t="s">
        <v>19</v>
      </c>
      <c r="M2" s="66" t="s">
        <v>140</v>
      </c>
      <c r="N2" s="66" t="s">
        <v>141</v>
      </c>
      <c r="O2" s="66" t="s">
        <v>39</v>
      </c>
      <c r="P2" s="66" t="s">
        <v>142</v>
      </c>
      <c r="Q2" s="67" t="s">
        <v>143</v>
      </c>
      <c r="R2" s="67" t="s">
        <v>144</v>
      </c>
      <c r="S2" s="68" t="s">
        <v>145</v>
      </c>
      <c r="T2" s="69" t="s">
        <v>146</v>
      </c>
      <c r="U2" s="70" t="s">
        <v>147</v>
      </c>
      <c r="V2" s="70" t="s">
        <v>143</v>
      </c>
      <c r="W2" s="70" t="s">
        <v>148</v>
      </c>
      <c r="X2" s="70" t="s">
        <v>149</v>
      </c>
      <c r="Y2" s="70" t="s">
        <v>4</v>
      </c>
      <c r="Z2" s="70" t="s">
        <v>150</v>
      </c>
      <c r="AA2" s="70" t="s">
        <v>19</v>
      </c>
      <c r="AB2" s="70" t="s">
        <v>18</v>
      </c>
      <c r="AC2" s="70" t="s">
        <v>39</v>
      </c>
      <c r="AD2" s="70" t="s">
        <v>140</v>
      </c>
      <c r="AE2" s="70" t="s">
        <v>151</v>
      </c>
      <c r="AF2" s="70" t="s">
        <v>152</v>
      </c>
      <c r="AG2" s="71" t="s">
        <v>1</v>
      </c>
      <c r="AH2" s="72" t="s">
        <v>6</v>
      </c>
      <c r="AI2" s="73" t="s">
        <v>153</v>
      </c>
      <c r="AJ2" s="73" t="s">
        <v>154</v>
      </c>
      <c r="AK2" s="73" t="s">
        <v>46</v>
      </c>
      <c r="AL2" s="73" t="s">
        <v>155</v>
      </c>
      <c r="AM2" s="73" t="s">
        <v>140</v>
      </c>
      <c r="AN2" s="73" t="s">
        <v>156</v>
      </c>
      <c r="AO2" s="73" t="s">
        <v>157</v>
      </c>
      <c r="AP2" s="73" t="s">
        <v>36</v>
      </c>
      <c r="AQ2" s="74" t="s">
        <v>151</v>
      </c>
    </row>
    <row r="3" ht="13.5" customHeight="1">
      <c r="A3" s="75"/>
      <c r="B3" s="75"/>
      <c r="C3" s="75"/>
      <c r="D3" s="76">
        <v>42133.0</v>
      </c>
      <c r="E3" s="77">
        <v>42140.0</v>
      </c>
      <c r="F3" s="77">
        <v>42147.0</v>
      </c>
      <c r="G3" s="77">
        <v>42149.0</v>
      </c>
      <c r="H3" s="78">
        <v>42189.0</v>
      </c>
      <c r="I3" s="78">
        <v>42196.0</v>
      </c>
      <c r="J3" s="78">
        <v>42217.0</v>
      </c>
      <c r="K3" s="77">
        <v>42231.0</v>
      </c>
      <c r="L3" s="77">
        <v>42238.0</v>
      </c>
      <c r="M3" s="77">
        <v>42253.0</v>
      </c>
      <c r="N3" s="77">
        <v>42259.0</v>
      </c>
      <c r="O3" s="77">
        <v>42266.0</v>
      </c>
      <c r="P3" s="77">
        <v>42287.0</v>
      </c>
      <c r="Q3" s="78">
        <v>42301.0</v>
      </c>
      <c r="R3" s="78">
        <v>42315.0</v>
      </c>
      <c r="S3" s="79">
        <v>42329.0</v>
      </c>
      <c r="T3" s="80">
        <v>42483.0</v>
      </c>
      <c r="U3" s="81">
        <v>42504.0</v>
      </c>
      <c r="V3" s="81">
        <v>42511.0</v>
      </c>
      <c r="W3" s="81" t="s">
        <v>158</v>
      </c>
      <c r="X3" s="81" t="s">
        <v>159</v>
      </c>
      <c r="Y3" s="81" t="s">
        <v>160</v>
      </c>
      <c r="Z3" s="81" t="s">
        <v>161</v>
      </c>
      <c r="AA3" s="81" t="s">
        <v>162</v>
      </c>
      <c r="AB3" s="81" t="s">
        <v>163</v>
      </c>
      <c r="AC3" s="81" t="s">
        <v>164</v>
      </c>
      <c r="AD3" s="81">
        <v>42609.0</v>
      </c>
      <c r="AE3" s="81" t="s">
        <v>165</v>
      </c>
      <c r="AF3" s="81" t="s">
        <v>166</v>
      </c>
      <c r="AG3" s="82" t="s">
        <v>167</v>
      </c>
      <c r="AH3" s="80">
        <v>42826.0</v>
      </c>
      <c r="AI3" s="81">
        <v>42844.0</v>
      </c>
      <c r="AJ3" s="81">
        <v>42847.0</v>
      </c>
      <c r="AK3" s="81">
        <v>42848.0</v>
      </c>
      <c r="AL3" s="81" t="s">
        <v>168</v>
      </c>
      <c r="AM3" s="81">
        <v>42910.0</v>
      </c>
      <c r="AN3" s="81" t="s">
        <v>169</v>
      </c>
      <c r="AO3" s="81" t="s">
        <v>170</v>
      </c>
      <c r="AP3" s="81" t="s">
        <v>171</v>
      </c>
      <c r="AQ3" s="82">
        <v>42952.0</v>
      </c>
    </row>
    <row r="4" ht="16.5" customHeight="1">
      <c r="A4" s="83" t="s">
        <v>172</v>
      </c>
      <c r="B4" s="83" t="s">
        <v>173</v>
      </c>
      <c r="C4" s="83" t="s">
        <v>174</v>
      </c>
      <c r="D4" s="84" t="s">
        <v>175</v>
      </c>
      <c r="E4" s="85" t="s">
        <v>176</v>
      </c>
      <c r="F4" s="85" t="s">
        <v>177</v>
      </c>
      <c r="G4" s="85" t="s">
        <v>178</v>
      </c>
      <c r="H4" s="86" t="s">
        <v>175</v>
      </c>
      <c r="I4" s="86" t="s">
        <v>179</v>
      </c>
      <c r="J4" s="86" t="s">
        <v>177</v>
      </c>
      <c r="K4" s="85" t="s">
        <v>180</v>
      </c>
      <c r="L4" s="85" t="s">
        <v>181</v>
      </c>
      <c r="M4" s="85" t="s">
        <v>182</v>
      </c>
      <c r="N4" s="85" t="s">
        <v>183</v>
      </c>
      <c r="O4" s="85" t="s">
        <v>177</v>
      </c>
      <c r="P4" s="85" t="s">
        <v>178</v>
      </c>
      <c r="Q4" s="86" t="s">
        <v>179</v>
      </c>
      <c r="R4" s="86" t="s">
        <v>184</v>
      </c>
      <c r="S4" s="87" t="s">
        <v>181</v>
      </c>
      <c r="T4" s="88" t="s">
        <v>178</v>
      </c>
      <c r="U4" s="89" t="s">
        <v>175</v>
      </c>
      <c r="V4" s="89" t="s">
        <v>179</v>
      </c>
      <c r="W4" s="89" t="s">
        <v>185</v>
      </c>
      <c r="X4" s="89" t="s">
        <v>186</v>
      </c>
      <c r="Y4" s="89" t="s">
        <v>178</v>
      </c>
      <c r="Z4" s="89" t="s">
        <v>177</v>
      </c>
      <c r="AA4" s="89" t="s">
        <v>177</v>
      </c>
      <c r="AB4" s="89" t="s">
        <v>187</v>
      </c>
      <c r="AC4" s="89" t="s">
        <v>188</v>
      </c>
      <c r="AD4" s="89" t="s">
        <v>175</v>
      </c>
      <c r="AE4" s="89" t="s">
        <v>182</v>
      </c>
      <c r="AF4" s="89" t="s">
        <v>179</v>
      </c>
      <c r="AG4" s="90" t="s">
        <v>178</v>
      </c>
      <c r="AH4" s="91" t="s">
        <v>189</v>
      </c>
      <c r="AI4" s="92" t="s">
        <v>184</v>
      </c>
      <c r="AJ4" s="92" t="s">
        <v>176</v>
      </c>
      <c r="AK4" s="92" t="s">
        <v>190</v>
      </c>
      <c r="AL4" s="92" t="s">
        <v>175</v>
      </c>
      <c r="AM4" s="92" t="s">
        <v>182</v>
      </c>
      <c r="AN4" s="92" t="s">
        <v>191</v>
      </c>
      <c r="AO4" s="92" t="s">
        <v>189</v>
      </c>
      <c r="AP4" s="92" t="s">
        <v>192</v>
      </c>
      <c r="AQ4" s="93" t="s">
        <v>177</v>
      </c>
    </row>
    <row r="5" ht="18.0" customHeight="1">
      <c r="A5" s="8">
        <v>1.0</v>
      </c>
      <c r="B5" s="8">
        <v>8.0</v>
      </c>
      <c r="C5" s="11" t="s">
        <v>47</v>
      </c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5"/>
    </row>
    <row r="6" ht="18.0" customHeight="1">
      <c r="A6" s="96">
        <v>2.0</v>
      </c>
      <c r="B6" s="96">
        <v>61.0</v>
      </c>
      <c r="C6" s="20" t="s">
        <v>52</v>
      </c>
      <c r="D6" s="12"/>
      <c r="E6" s="12"/>
      <c r="F6" s="12"/>
      <c r="G6" s="12" t="s">
        <v>127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 t="s">
        <v>127</v>
      </c>
      <c r="U6" s="12"/>
      <c r="V6" s="12"/>
      <c r="W6" s="12"/>
      <c r="X6" s="97" t="s">
        <v>127</v>
      </c>
      <c r="Y6" s="12"/>
      <c r="Z6" s="12"/>
      <c r="AA6" s="12"/>
      <c r="AB6" s="12"/>
      <c r="AC6" s="97" t="s">
        <v>127</v>
      </c>
      <c r="AD6" s="12"/>
      <c r="AE6" s="12"/>
      <c r="AF6" s="12"/>
      <c r="AG6" s="12"/>
      <c r="AH6" s="12" t="s">
        <v>127</v>
      </c>
      <c r="AI6" s="12"/>
      <c r="AJ6" s="12"/>
      <c r="AK6" s="12"/>
      <c r="AL6" s="12"/>
      <c r="AM6" s="12"/>
      <c r="AN6" s="12"/>
      <c r="AO6" s="12"/>
      <c r="AP6" s="12"/>
      <c r="AQ6" s="98"/>
    </row>
    <row r="7" ht="18.0" customHeight="1">
      <c r="A7" s="96">
        <v>3.0</v>
      </c>
      <c r="B7" s="96">
        <v>19.0</v>
      </c>
      <c r="C7" s="33" t="s">
        <v>54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98"/>
    </row>
    <row r="8" ht="18.0" customHeight="1">
      <c r="A8" s="96">
        <v>4.0</v>
      </c>
      <c r="B8" s="96">
        <v>101.0</v>
      </c>
      <c r="C8" s="20" t="s">
        <v>193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98"/>
    </row>
    <row r="9" ht="18.0" customHeight="1">
      <c r="A9" s="96">
        <v>5.0</v>
      </c>
      <c r="B9" s="96">
        <v>62.0</v>
      </c>
      <c r="C9" s="20" t="s">
        <v>58</v>
      </c>
      <c r="D9" s="12"/>
      <c r="E9" s="12"/>
      <c r="F9" s="12"/>
      <c r="G9" s="12"/>
      <c r="H9" s="12"/>
      <c r="I9" s="12" t="s">
        <v>127</v>
      </c>
      <c r="J9" s="12"/>
      <c r="K9" s="12"/>
      <c r="L9" s="12"/>
      <c r="M9" s="12"/>
      <c r="N9" s="12" t="s">
        <v>127</v>
      </c>
      <c r="O9" s="12"/>
      <c r="P9" s="12"/>
      <c r="Q9" s="12"/>
      <c r="R9" s="12"/>
      <c r="S9" s="12"/>
      <c r="T9" s="12"/>
      <c r="U9" s="12"/>
      <c r="V9" s="12" t="s">
        <v>127</v>
      </c>
      <c r="W9" s="12"/>
      <c r="X9" s="12"/>
      <c r="Y9" s="12"/>
      <c r="Z9" s="12"/>
      <c r="AA9" s="12"/>
      <c r="AB9" s="12"/>
      <c r="AC9" s="12"/>
      <c r="AD9" s="12"/>
      <c r="AE9" s="12" t="s">
        <v>127</v>
      </c>
      <c r="AF9" s="12"/>
      <c r="AG9" s="12"/>
      <c r="AH9" s="12"/>
      <c r="AI9" s="12"/>
      <c r="AJ9" s="12" t="s">
        <v>127</v>
      </c>
      <c r="AK9" s="12"/>
      <c r="AL9" s="12"/>
      <c r="AM9" s="12"/>
      <c r="AN9" s="12" t="s">
        <v>127</v>
      </c>
      <c r="AO9" s="12"/>
      <c r="AP9" s="12"/>
      <c r="AQ9" s="98"/>
    </row>
    <row r="10" ht="18.0" customHeight="1">
      <c r="A10" s="96">
        <v>6.0</v>
      </c>
      <c r="B10" s="96">
        <v>11.0</v>
      </c>
      <c r="C10" s="32" t="s">
        <v>194</v>
      </c>
      <c r="D10" s="12"/>
      <c r="E10" s="12"/>
      <c r="F10" s="12"/>
      <c r="G10" s="12"/>
      <c r="H10" s="12"/>
      <c r="I10" s="12"/>
      <c r="J10" s="12"/>
      <c r="K10" s="12"/>
      <c r="L10" s="12"/>
      <c r="M10" s="12" t="s">
        <v>127</v>
      </c>
      <c r="N10" s="12"/>
      <c r="O10" s="12" t="s">
        <v>127</v>
      </c>
      <c r="P10" s="12"/>
      <c r="Q10" s="12" t="s">
        <v>127</v>
      </c>
      <c r="R10" s="12"/>
      <c r="S10" s="12"/>
      <c r="T10" s="12"/>
      <c r="U10" s="12"/>
      <c r="V10" s="12"/>
      <c r="W10" s="12"/>
      <c r="X10" s="12"/>
      <c r="Y10" s="12"/>
      <c r="Z10" s="12" t="s">
        <v>127</v>
      </c>
      <c r="AA10" s="12" t="s">
        <v>127</v>
      </c>
      <c r="AB10" s="12"/>
      <c r="AC10" s="12"/>
      <c r="AD10" s="12"/>
      <c r="AE10" s="12"/>
      <c r="AF10" s="12"/>
      <c r="AG10" s="12"/>
      <c r="AH10" s="12" t="s">
        <v>127</v>
      </c>
      <c r="AI10" s="12" t="s">
        <v>127</v>
      </c>
      <c r="AJ10" s="12"/>
      <c r="AK10" s="12"/>
      <c r="AL10" s="12"/>
      <c r="AM10" s="12"/>
      <c r="AN10" s="12"/>
      <c r="AO10" s="12"/>
      <c r="AP10" s="12"/>
      <c r="AQ10" s="12" t="s">
        <v>127</v>
      </c>
    </row>
    <row r="11" ht="18.0" customHeight="1">
      <c r="A11" s="96">
        <v>7.0</v>
      </c>
      <c r="B11" s="96">
        <v>27.0</v>
      </c>
      <c r="C11" s="32" t="s">
        <v>59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98"/>
    </row>
    <row r="12" ht="18.0" customHeight="1">
      <c r="A12" s="96">
        <v>8.0</v>
      </c>
      <c r="B12" s="96">
        <v>28.0</v>
      </c>
      <c r="C12" s="20" t="s">
        <v>61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 t="s">
        <v>127</v>
      </c>
      <c r="Z12" s="12"/>
      <c r="AA12" s="12"/>
      <c r="AB12" s="12"/>
      <c r="AC12" s="12"/>
      <c r="AD12" s="12"/>
      <c r="AE12" s="12"/>
      <c r="AF12" s="12" t="s">
        <v>127</v>
      </c>
      <c r="AG12" s="12" t="s">
        <v>127</v>
      </c>
      <c r="AH12" s="12" t="s">
        <v>127</v>
      </c>
      <c r="AI12" s="12"/>
      <c r="AJ12" s="12"/>
      <c r="AK12" s="12"/>
      <c r="AL12" s="12"/>
      <c r="AM12" s="12"/>
      <c r="AN12" s="12" t="s">
        <v>127</v>
      </c>
      <c r="AO12" s="12"/>
      <c r="AP12" s="12"/>
      <c r="AQ12" s="98"/>
    </row>
    <row r="13" ht="18.0" customHeight="1">
      <c r="A13" s="96">
        <v>9.0</v>
      </c>
      <c r="B13" s="96">
        <v>12.0</v>
      </c>
      <c r="C13" s="33" t="s">
        <v>195</v>
      </c>
      <c r="D13" s="12"/>
      <c r="E13" s="12"/>
      <c r="F13" s="12"/>
      <c r="G13" s="12" t="s">
        <v>127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98"/>
    </row>
    <row r="14" ht="18.0" customHeight="1">
      <c r="A14" s="96">
        <v>10.0</v>
      </c>
      <c r="B14" s="96">
        <v>85.0</v>
      </c>
      <c r="C14" s="33" t="s">
        <v>196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 t="s">
        <v>127</v>
      </c>
      <c r="O14" s="12"/>
      <c r="P14" s="12"/>
      <c r="Q14" s="12"/>
      <c r="R14" s="12" t="s">
        <v>127</v>
      </c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98"/>
    </row>
    <row r="15" ht="18.0" customHeight="1">
      <c r="A15" s="96">
        <v>11.0</v>
      </c>
      <c r="B15" s="96">
        <v>65.0</v>
      </c>
      <c r="C15" s="20" t="s">
        <v>67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 t="s">
        <v>127</v>
      </c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98"/>
    </row>
    <row r="16" ht="18.0" customHeight="1">
      <c r="A16" s="96">
        <v>12.0</v>
      </c>
      <c r="B16" s="96">
        <v>6.0</v>
      </c>
      <c r="C16" s="20" t="s">
        <v>68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 t="s">
        <v>127</v>
      </c>
      <c r="AD16" s="12" t="s">
        <v>127</v>
      </c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98"/>
    </row>
    <row r="17" ht="18.0" customHeight="1">
      <c r="A17" s="96">
        <v>13.0</v>
      </c>
      <c r="B17" s="96">
        <v>43.0</v>
      </c>
      <c r="C17" s="33" t="s">
        <v>71</v>
      </c>
      <c r="D17" s="12"/>
      <c r="E17" s="12"/>
      <c r="F17" s="12" t="s">
        <v>127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 t="s">
        <v>127</v>
      </c>
      <c r="AB17" s="12"/>
      <c r="AC17" s="12" t="s">
        <v>127</v>
      </c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98"/>
    </row>
    <row r="18" ht="18.0" customHeight="1">
      <c r="A18" s="96">
        <v>14.0</v>
      </c>
      <c r="B18" s="96">
        <v>29.0</v>
      </c>
      <c r="C18" s="20" t="s">
        <v>73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98"/>
    </row>
    <row r="19" ht="18.0" customHeight="1">
      <c r="A19" s="96">
        <v>15.0</v>
      </c>
      <c r="B19" s="96">
        <v>17.0</v>
      </c>
      <c r="C19" s="32" t="s">
        <v>197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98"/>
    </row>
    <row r="20" ht="20.25" customHeight="1">
      <c r="A20" s="96">
        <v>16.0</v>
      </c>
      <c r="B20" s="96">
        <v>35.0</v>
      </c>
      <c r="C20" s="99" t="s">
        <v>74</v>
      </c>
      <c r="D20" s="12"/>
      <c r="E20" s="12"/>
      <c r="F20" s="12"/>
      <c r="G20" s="12"/>
      <c r="H20" s="12"/>
      <c r="I20" s="12"/>
      <c r="J20" s="12"/>
      <c r="K20" s="12"/>
      <c r="L20" s="12" t="s">
        <v>127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 t="s">
        <v>127</v>
      </c>
      <c r="AA20" s="12"/>
      <c r="AB20" s="12"/>
      <c r="AC20" s="12"/>
      <c r="AD20" s="12"/>
      <c r="AE20" s="12"/>
      <c r="AF20" s="12"/>
      <c r="AG20" s="12"/>
      <c r="AH20" s="12"/>
      <c r="AI20" s="12" t="s">
        <v>127</v>
      </c>
      <c r="AJ20" s="12"/>
      <c r="AK20" s="12"/>
      <c r="AL20" s="12"/>
      <c r="AM20" s="12"/>
      <c r="AN20" s="12"/>
      <c r="AO20" s="12"/>
      <c r="AP20" s="12"/>
      <c r="AQ20" s="98"/>
    </row>
    <row r="21" ht="18.0" customHeight="1">
      <c r="A21" s="96">
        <v>17.0</v>
      </c>
      <c r="B21" s="96">
        <v>66.0</v>
      </c>
      <c r="C21" s="33" t="s">
        <v>76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 t="s">
        <v>127</v>
      </c>
      <c r="AK21" s="12"/>
      <c r="AL21" s="12"/>
      <c r="AM21" s="12"/>
      <c r="AN21" s="12"/>
      <c r="AO21" s="12"/>
      <c r="AP21" s="12"/>
      <c r="AQ21" s="98"/>
    </row>
    <row r="22" ht="18.0" customHeight="1">
      <c r="A22" s="96">
        <v>18.0</v>
      </c>
      <c r="B22" s="96">
        <v>30.0</v>
      </c>
      <c r="C22" s="32" t="s">
        <v>77</v>
      </c>
      <c r="D22" s="12"/>
      <c r="E22" s="12"/>
      <c r="F22" s="12" t="s">
        <v>127</v>
      </c>
      <c r="G22" s="12"/>
      <c r="H22" s="12"/>
      <c r="I22" s="12"/>
      <c r="J22" s="12"/>
      <c r="K22" s="12" t="s">
        <v>127</v>
      </c>
      <c r="L22" s="12"/>
      <c r="M22" s="12"/>
      <c r="N22" s="12"/>
      <c r="O22" s="12"/>
      <c r="P22" s="12"/>
      <c r="Q22" s="12"/>
      <c r="R22" s="12"/>
      <c r="S22" s="12" t="s">
        <v>127</v>
      </c>
      <c r="T22" s="12"/>
      <c r="U22" s="12"/>
      <c r="V22" s="12"/>
      <c r="W22" s="12"/>
      <c r="X22" s="12"/>
      <c r="Y22" s="12"/>
      <c r="Z22" s="12"/>
      <c r="AA22" s="12"/>
      <c r="AB22" s="12"/>
      <c r="AC22" s="12" t="s">
        <v>127</v>
      </c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 t="s">
        <v>127</v>
      </c>
    </row>
    <row r="23" ht="18.0" customHeight="1">
      <c r="A23" s="96">
        <v>19.0</v>
      </c>
      <c r="B23" s="96">
        <v>36.0</v>
      </c>
      <c r="C23" s="33" t="s">
        <v>198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98"/>
    </row>
    <row r="24" ht="18.0" customHeight="1">
      <c r="A24" s="96">
        <v>20.0</v>
      </c>
      <c r="B24" s="96">
        <v>38.0</v>
      </c>
      <c r="C24" s="20" t="s">
        <v>89</v>
      </c>
      <c r="D24" s="12"/>
      <c r="E24" s="12"/>
      <c r="F24" s="12" t="s">
        <v>127</v>
      </c>
      <c r="G24" s="12"/>
      <c r="H24" s="12" t="s">
        <v>127</v>
      </c>
      <c r="I24" s="12"/>
      <c r="J24" s="12"/>
      <c r="K24" s="12"/>
      <c r="L24" s="12"/>
      <c r="M24" s="12"/>
      <c r="N24" s="12" t="s">
        <v>127</v>
      </c>
      <c r="O24" s="12"/>
      <c r="P24" s="12"/>
      <c r="Q24" s="12"/>
      <c r="R24" s="12" t="s">
        <v>127</v>
      </c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 t="s">
        <v>127</v>
      </c>
      <c r="AL24" s="12"/>
      <c r="AM24" s="12"/>
      <c r="AN24" s="12"/>
      <c r="AO24" s="12"/>
      <c r="AP24" s="12"/>
      <c r="AQ24" s="98"/>
    </row>
    <row r="25" ht="18.0" customHeight="1">
      <c r="A25" s="96">
        <v>21.0</v>
      </c>
      <c r="B25" s="96">
        <v>87.0</v>
      </c>
      <c r="C25" s="33" t="s">
        <v>199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 t="s">
        <v>127</v>
      </c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98"/>
    </row>
    <row r="26" ht="18.0" customHeight="1">
      <c r="A26" s="96">
        <v>22.0</v>
      </c>
      <c r="B26" s="96">
        <v>88.0</v>
      </c>
      <c r="C26" s="33" t="s">
        <v>200</v>
      </c>
      <c r="D26" s="12"/>
      <c r="E26" s="12"/>
      <c r="F26" s="12"/>
      <c r="G26" s="12"/>
      <c r="H26" s="12"/>
      <c r="I26" s="12"/>
      <c r="J26" s="12"/>
      <c r="K26" s="12"/>
      <c r="L26" s="12"/>
      <c r="M26" s="12" t="s">
        <v>127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98"/>
    </row>
    <row r="27" ht="18.0" customHeight="1">
      <c r="A27" s="96">
        <v>23.0</v>
      </c>
      <c r="B27" s="96">
        <v>49.0</v>
      </c>
      <c r="C27" s="33" t="s">
        <v>91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98"/>
    </row>
    <row r="28" ht="18.0" customHeight="1">
      <c r="A28" s="96">
        <v>24.0</v>
      </c>
      <c r="B28" s="96">
        <v>89.0</v>
      </c>
      <c r="C28" s="33" t="s">
        <v>201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 t="s">
        <v>127</v>
      </c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98"/>
    </row>
    <row r="29" ht="18.0" customHeight="1">
      <c r="A29" s="96">
        <v>25.0</v>
      </c>
      <c r="B29" s="96">
        <v>69.0</v>
      </c>
      <c r="C29" s="20" t="s">
        <v>92</v>
      </c>
      <c r="D29" s="12"/>
      <c r="E29" s="12"/>
      <c r="F29" s="12"/>
      <c r="G29" s="12" t="s">
        <v>127</v>
      </c>
      <c r="H29" s="12"/>
      <c r="I29" s="12"/>
      <c r="J29" s="12"/>
      <c r="K29" s="12"/>
      <c r="L29" s="12"/>
      <c r="M29" s="12"/>
      <c r="N29" s="12"/>
      <c r="O29" s="12"/>
      <c r="P29" s="12" t="s">
        <v>127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98"/>
    </row>
    <row r="30" ht="18.0" customHeight="1">
      <c r="A30" s="96">
        <v>26.0</v>
      </c>
      <c r="B30" s="96">
        <v>90.0</v>
      </c>
      <c r="C30" s="33" t="s">
        <v>93</v>
      </c>
      <c r="D30" s="12"/>
      <c r="E30" s="12"/>
      <c r="F30" s="12"/>
      <c r="G30" s="12"/>
      <c r="H30" s="12"/>
      <c r="I30" s="12"/>
      <c r="J30" s="12" t="s">
        <v>127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 t="s">
        <v>127</v>
      </c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98"/>
    </row>
    <row r="31" ht="18.0" customHeight="1">
      <c r="A31" s="96">
        <v>27.0</v>
      </c>
      <c r="B31" s="96">
        <v>26.0</v>
      </c>
      <c r="C31" s="20" t="s">
        <v>202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 t="s">
        <v>127</v>
      </c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98"/>
    </row>
    <row r="32" ht="18.0" customHeight="1">
      <c r="A32" s="96">
        <v>28.0</v>
      </c>
      <c r="B32" s="96">
        <v>22.0</v>
      </c>
      <c r="C32" s="32" t="s">
        <v>94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 t="s">
        <v>127</v>
      </c>
      <c r="Y32" s="12"/>
      <c r="Z32" s="12"/>
      <c r="AA32" s="12" t="s">
        <v>127</v>
      </c>
      <c r="AB32" s="12"/>
      <c r="AC32" s="12" t="s">
        <v>127</v>
      </c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98"/>
    </row>
    <row r="33" ht="18.0" customHeight="1">
      <c r="A33" s="96">
        <v>29.0</v>
      </c>
      <c r="B33" s="96">
        <v>41.0</v>
      </c>
      <c r="C33" s="33" t="s">
        <v>96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98"/>
    </row>
    <row r="34" ht="18.0" customHeight="1">
      <c r="A34" s="96">
        <v>30.0</v>
      </c>
      <c r="B34" s="96">
        <v>70.0</v>
      </c>
      <c r="C34" s="20" t="s">
        <v>97</v>
      </c>
      <c r="D34" s="12"/>
      <c r="E34" s="12"/>
      <c r="F34" s="12"/>
      <c r="G34" s="12"/>
      <c r="H34" s="12"/>
      <c r="I34" s="12"/>
      <c r="J34" s="12" t="s">
        <v>127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 t="s">
        <v>127</v>
      </c>
      <c r="AN34" s="12"/>
      <c r="AO34" s="12"/>
      <c r="AP34" s="12"/>
      <c r="AQ34" s="98"/>
    </row>
    <row r="35" ht="18.0" customHeight="1">
      <c r="A35" s="96">
        <v>31.0</v>
      </c>
      <c r="B35" s="96">
        <v>44.0</v>
      </c>
      <c r="C35" s="33" t="s">
        <v>99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 t="s">
        <v>127</v>
      </c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 t="s">
        <v>127</v>
      </c>
      <c r="AI35" s="12" t="s">
        <v>127</v>
      </c>
      <c r="AJ35" s="12"/>
      <c r="AK35" s="12"/>
      <c r="AL35" s="12"/>
      <c r="AM35" s="12"/>
      <c r="AN35" s="12"/>
      <c r="AO35" s="12"/>
      <c r="AP35" s="12"/>
      <c r="AQ35" s="98"/>
    </row>
    <row r="36" ht="18.0" customHeight="1">
      <c r="A36" s="96">
        <v>32.0</v>
      </c>
      <c r="B36" s="96">
        <v>50.0</v>
      </c>
      <c r="C36" s="20" t="s">
        <v>100</v>
      </c>
      <c r="D36" s="12"/>
      <c r="E36" s="12"/>
      <c r="F36" s="12"/>
      <c r="G36" s="12"/>
      <c r="H36" s="12"/>
      <c r="I36" s="12" t="s">
        <v>127</v>
      </c>
      <c r="J36" s="12"/>
      <c r="K36" s="12"/>
      <c r="L36" s="12"/>
      <c r="M36" s="12"/>
      <c r="N36" s="12"/>
      <c r="O36" s="12"/>
      <c r="P36" s="12"/>
      <c r="Q36" s="12"/>
      <c r="R36" s="12"/>
      <c r="S36" s="12" t="s">
        <v>127</v>
      </c>
      <c r="T36" s="12"/>
      <c r="U36" s="12"/>
      <c r="V36" s="12"/>
      <c r="W36" s="12"/>
      <c r="X36" s="12"/>
      <c r="Y36" s="12"/>
      <c r="Z36" s="12"/>
      <c r="AA36" s="12"/>
      <c r="AB36" s="12" t="s">
        <v>127</v>
      </c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 t="s">
        <v>127</v>
      </c>
      <c r="AP36" s="12"/>
      <c r="AQ36" s="12" t="s">
        <v>127</v>
      </c>
    </row>
    <row r="37" ht="18.0" customHeight="1">
      <c r="A37" s="96">
        <v>33.0</v>
      </c>
      <c r="B37" s="96">
        <v>91.0</v>
      </c>
      <c r="C37" s="33" t="s">
        <v>203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98"/>
    </row>
    <row r="38" ht="18.0" customHeight="1">
      <c r="A38" s="96">
        <v>34.0</v>
      </c>
      <c r="B38" s="96">
        <v>52.0</v>
      </c>
      <c r="C38" s="33" t="s">
        <v>102</v>
      </c>
      <c r="D38" s="12"/>
      <c r="E38" s="12"/>
      <c r="F38" s="12"/>
      <c r="G38" s="12"/>
      <c r="H38" s="12"/>
      <c r="I38" s="12" t="s">
        <v>127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 t="s">
        <v>127</v>
      </c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98"/>
    </row>
    <row r="39" ht="18.0" customHeight="1">
      <c r="A39" s="96">
        <v>35.0</v>
      </c>
      <c r="B39" s="96">
        <v>92.0</v>
      </c>
      <c r="C39" s="33" t="s">
        <v>204</v>
      </c>
      <c r="D39" s="12"/>
      <c r="E39" s="12"/>
      <c r="F39" s="12"/>
      <c r="G39" s="12"/>
      <c r="H39" s="12"/>
      <c r="I39" s="12"/>
      <c r="J39" s="12" t="s">
        <v>127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98"/>
    </row>
    <row r="40" ht="18.0" customHeight="1">
      <c r="A40" s="96">
        <v>36.0</v>
      </c>
      <c r="B40" s="96">
        <v>93.0</v>
      </c>
      <c r="C40" s="33" t="s">
        <v>103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 t="s">
        <v>127</v>
      </c>
      <c r="O40" s="12"/>
      <c r="P40" s="12"/>
      <c r="Q40" s="12"/>
      <c r="R40" s="12" t="s">
        <v>127</v>
      </c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98"/>
    </row>
    <row r="41" ht="20.25" customHeight="1">
      <c r="A41" s="96">
        <v>37.0</v>
      </c>
      <c r="B41" s="96">
        <v>31.0</v>
      </c>
      <c r="C41" s="99" t="s">
        <v>205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 t="s">
        <v>127</v>
      </c>
      <c r="V41" s="12"/>
      <c r="W41" s="12"/>
      <c r="X41" s="12"/>
      <c r="Y41" s="12"/>
      <c r="Z41" s="12" t="s">
        <v>127</v>
      </c>
      <c r="AA41" s="12"/>
      <c r="AB41" s="12"/>
      <c r="AC41" s="12"/>
      <c r="AD41" s="12"/>
      <c r="AE41" s="12"/>
      <c r="AF41" s="12"/>
      <c r="AG41" s="12"/>
      <c r="AH41" s="12"/>
      <c r="AI41" s="12" t="s">
        <v>127</v>
      </c>
      <c r="AJ41" s="12"/>
      <c r="AK41" s="12"/>
      <c r="AL41" s="12"/>
      <c r="AM41" s="12"/>
      <c r="AN41" s="12"/>
      <c r="AO41" s="12"/>
      <c r="AP41" s="12"/>
      <c r="AQ41" s="98"/>
    </row>
    <row r="42" ht="18.0" customHeight="1">
      <c r="A42" s="96">
        <v>38.0</v>
      </c>
      <c r="B42" s="96">
        <v>71.0</v>
      </c>
      <c r="C42" s="20" t="s">
        <v>105</v>
      </c>
      <c r="D42" s="12"/>
      <c r="E42" s="12"/>
      <c r="F42" s="12"/>
      <c r="G42" s="12"/>
      <c r="H42" s="12"/>
      <c r="I42" s="12"/>
      <c r="J42" s="12" t="s">
        <v>127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98"/>
    </row>
    <row r="43" ht="18.0" customHeight="1">
      <c r="A43" s="96">
        <v>39.0</v>
      </c>
      <c r="B43" s="96">
        <v>94.0</v>
      </c>
      <c r="C43" s="33" t="s">
        <v>106</v>
      </c>
      <c r="D43" s="12"/>
      <c r="E43" s="12"/>
      <c r="F43" s="12"/>
      <c r="G43" s="12"/>
      <c r="H43" s="12"/>
      <c r="I43" s="12"/>
      <c r="J43" s="12" t="s">
        <v>127</v>
      </c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 t="s">
        <v>127</v>
      </c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98"/>
    </row>
    <row r="44" ht="18.0" customHeight="1">
      <c r="A44" s="96">
        <v>40.0</v>
      </c>
      <c r="B44" s="96">
        <v>32.0</v>
      </c>
      <c r="C44" s="33" t="s">
        <v>206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98"/>
    </row>
    <row r="45" ht="18.0" customHeight="1">
      <c r="A45" s="96">
        <v>41.0</v>
      </c>
      <c r="B45" s="96">
        <v>54.0</v>
      </c>
      <c r="C45" s="20" t="s">
        <v>108</v>
      </c>
      <c r="D45" s="12"/>
      <c r="E45" s="12"/>
      <c r="F45" s="12"/>
      <c r="G45" s="12"/>
      <c r="H45" s="12"/>
      <c r="I45" s="12"/>
      <c r="J45" s="12"/>
      <c r="K45" s="12" t="s">
        <v>127</v>
      </c>
      <c r="L45" s="12"/>
      <c r="M45" s="12"/>
      <c r="N45" s="12" t="s">
        <v>127</v>
      </c>
      <c r="O45" s="12"/>
      <c r="P45" s="12"/>
      <c r="Q45" s="12"/>
      <c r="R45" s="12" t="s">
        <v>127</v>
      </c>
      <c r="S45" s="12" t="s">
        <v>127</v>
      </c>
      <c r="T45" s="12"/>
      <c r="U45" s="12"/>
      <c r="V45" s="12"/>
      <c r="W45" s="12"/>
      <c r="X45" s="12"/>
      <c r="Y45" s="12"/>
      <c r="Z45" s="12"/>
      <c r="AA45" s="12" t="s">
        <v>127</v>
      </c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98"/>
    </row>
    <row r="46" ht="18.0" customHeight="1">
      <c r="A46" s="96">
        <v>42.0</v>
      </c>
      <c r="B46" s="96">
        <v>96.0</v>
      </c>
      <c r="C46" s="33" t="s">
        <v>207</v>
      </c>
      <c r="D46" s="12"/>
      <c r="E46" s="12"/>
      <c r="F46" s="12"/>
      <c r="G46" s="12"/>
      <c r="H46" s="12"/>
      <c r="I46" s="12"/>
      <c r="J46" s="12"/>
      <c r="K46" s="12"/>
      <c r="L46" s="12"/>
      <c r="M46" s="12" t="s">
        <v>127</v>
      </c>
      <c r="N46" s="12"/>
      <c r="O46" s="12"/>
      <c r="P46" s="12"/>
      <c r="Q46" s="12" t="s">
        <v>127</v>
      </c>
      <c r="R46" s="12"/>
      <c r="S46" s="12" t="s">
        <v>127</v>
      </c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98"/>
    </row>
    <row r="47" ht="18.0" customHeight="1">
      <c r="A47" s="96">
        <v>43.0</v>
      </c>
      <c r="B47" s="96">
        <v>46.0</v>
      </c>
      <c r="C47" s="33" t="s">
        <v>111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 t="s">
        <v>127</v>
      </c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98"/>
    </row>
    <row r="48" ht="18.0" customHeight="1">
      <c r="A48" s="96">
        <v>44.0</v>
      </c>
      <c r="B48" s="96">
        <v>76.0</v>
      </c>
      <c r="C48" s="20" t="s">
        <v>114</v>
      </c>
      <c r="D48" s="12"/>
      <c r="E48" s="12" t="s">
        <v>127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98"/>
    </row>
    <row r="49" ht="18.0" customHeight="1">
      <c r="A49" s="96">
        <v>45.0</v>
      </c>
      <c r="B49" s="96">
        <v>77.0</v>
      </c>
      <c r="C49" s="33" t="s">
        <v>115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98"/>
    </row>
    <row r="50" ht="18.0" customHeight="1">
      <c r="A50" s="96">
        <v>46.0</v>
      </c>
      <c r="B50" s="96">
        <v>39.0</v>
      </c>
      <c r="C50" s="33" t="s">
        <v>208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98"/>
    </row>
    <row r="51" ht="18.0" customHeight="1">
      <c r="A51" s="96">
        <v>47.0</v>
      </c>
      <c r="B51" s="96">
        <v>98.0</v>
      </c>
      <c r="C51" s="20" t="s">
        <v>209</v>
      </c>
      <c r="D51" s="12"/>
      <c r="E51" s="12"/>
      <c r="F51" s="12"/>
      <c r="G51" s="12"/>
      <c r="H51" s="12"/>
      <c r="I51" s="12"/>
      <c r="J51" s="12"/>
      <c r="K51" s="12"/>
      <c r="L51" s="12"/>
      <c r="M51" s="12" t="s">
        <v>127</v>
      </c>
      <c r="N51" s="12"/>
      <c r="O51" s="12"/>
      <c r="P51" s="12"/>
      <c r="Q51" s="12" t="s">
        <v>127</v>
      </c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 t="s">
        <v>127</v>
      </c>
      <c r="AM51" s="12"/>
      <c r="AN51" s="12"/>
      <c r="AO51" s="12"/>
      <c r="AP51" s="12"/>
      <c r="AQ51" s="98"/>
    </row>
    <row r="52" ht="18.0" customHeight="1">
      <c r="A52" s="96">
        <v>48.0</v>
      </c>
      <c r="B52" s="96">
        <v>55.0</v>
      </c>
      <c r="C52" s="33" t="s">
        <v>120</v>
      </c>
      <c r="D52" s="12"/>
      <c r="E52" s="12" t="s">
        <v>127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 t="s">
        <v>127</v>
      </c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98"/>
    </row>
    <row r="53" ht="18.0" customHeight="1">
      <c r="A53" s="96">
        <v>49.0</v>
      </c>
      <c r="B53" s="96">
        <v>79.0</v>
      </c>
      <c r="C53" s="33" t="s">
        <v>121</v>
      </c>
      <c r="D53" s="12"/>
      <c r="E53" s="12"/>
      <c r="F53" s="12"/>
      <c r="G53" s="12"/>
      <c r="H53" s="12"/>
      <c r="I53" s="12"/>
      <c r="J53" s="12"/>
      <c r="K53" s="12"/>
      <c r="L53" s="12"/>
      <c r="M53" s="12" t="s">
        <v>127</v>
      </c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 t="s">
        <v>127</v>
      </c>
    </row>
    <row r="54" ht="18.0" customHeight="1">
      <c r="A54" s="96">
        <v>50.0</v>
      </c>
      <c r="B54" s="96">
        <v>47.0</v>
      </c>
      <c r="C54" s="20" t="s">
        <v>122</v>
      </c>
      <c r="D54" s="12"/>
      <c r="E54" s="12"/>
      <c r="F54" s="12" t="s">
        <v>127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 t="s">
        <v>127</v>
      </c>
      <c r="AB54" s="12"/>
      <c r="AC54" s="12"/>
      <c r="AD54" s="12"/>
      <c r="AE54" s="12"/>
      <c r="AF54" s="12" t="s">
        <v>127</v>
      </c>
      <c r="AG54" s="12"/>
      <c r="AH54" s="12" t="s">
        <v>127</v>
      </c>
      <c r="AI54" s="12"/>
      <c r="AJ54" s="12"/>
      <c r="AK54" s="12"/>
      <c r="AL54" s="12"/>
      <c r="AM54" s="12"/>
      <c r="AN54" s="12"/>
      <c r="AO54" s="12"/>
      <c r="AP54" s="12"/>
      <c r="AQ54" s="12" t="s">
        <v>127</v>
      </c>
    </row>
    <row r="55" ht="18.0" customHeight="1">
      <c r="A55" s="96">
        <v>51.0</v>
      </c>
      <c r="B55" s="96">
        <v>33.0</v>
      </c>
      <c r="C55" s="32" t="s">
        <v>124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98"/>
    </row>
    <row r="56" ht="18.0" customHeight="1">
      <c r="A56" s="96">
        <v>52.0</v>
      </c>
      <c r="B56" s="96">
        <v>20.0</v>
      </c>
      <c r="C56" s="32" t="s">
        <v>125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 t="s">
        <v>127</v>
      </c>
      <c r="Q56" s="12"/>
      <c r="R56" s="12"/>
      <c r="S56" s="12"/>
      <c r="T56" s="12"/>
      <c r="U56" s="12"/>
      <c r="V56" s="12" t="s">
        <v>127</v>
      </c>
      <c r="W56" s="12"/>
      <c r="X56" s="12"/>
      <c r="Y56" s="12"/>
      <c r="Z56" s="12"/>
      <c r="AA56" s="12" t="s">
        <v>127</v>
      </c>
      <c r="AB56" s="12"/>
      <c r="AC56" s="12" t="s">
        <v>127</v>
      </c>
      <c r="AD56" s="12"/>
      <c r="AE56" s="12"/>
      <c r="AF56" s="12"/>
      <c r="AG56" s="12" t="s">
        <v>127</v>
      </c>
      <c r="AH56" s="12"/>
      <c r="AI56" s="12"/>
      <c r="AJ56" s="12"/>
      <c r="AK56" s="12"/>
      <c r="AL56" s="12"/>
      <c r="AM56" s="12" t="s">
        <v>127</v>
      </c>
      <c r="AN56" s="12"/>
      <c r="AO56" s="12"/>
      <c r="AP56" s="12"/>
      <c r="AQ56" s="12" t="s">
        <v>127</v>
      </c>
    </row>
    <row r="57" ht="18.0" customHeight="1">
      <c r="A57" s="96">
        <v>53.0</v>
      </c>
      <c r="B57" s="96">
        <v>81.0</v>
      </c>
      <c r="C57" s="33" t="s">
        <v>128</v>
      </c>
      <c r="D57" s="12"/>
      <c r="E57" s="12"/>
      <c r="F57" s="12"/>
      <c r="G57" s="12" t="s">
        <v>127</v>
      </c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 t="s">
        <v>127</v>
      </c>
      <c r="AM57" s="12"/>
      <c r="AN57" s="12"/>
      <c r="AO57" s="12"/>
      <c r="AP57" s="12" t="s">
        <v>127</v>
      </c>
      <c r="AQ57" s="12" t="s">
        <v>127</v>
      </c>
    </row>
    <row r="58" ht="18.0" customHeight="1">
      <c r="A58" s="96">
        <v>54.0</v>
      </c>
      <c r="B58" s="96">
        <v>82.0</v>
      </c>
      <c r="C58" s="33" t="s">
        <v>129</v>
      </c>
      <c r="D58" s="12"/>
      <c r="E58" s="12"/>
      <c r="F58" s="12"/>
      <c r="G58" s="12" t="s">
        <v>127</v>
      </c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 t="s">
        <v>127</v>
      </c>
      <c r="AC58" s="12"/>
      <c r="AD58" s="12"/>
      <c r="AE58" s="12" t="s">
        <v>127</v>
      </c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 t="s">
        <v>127</v>
      </c>
      <c r="AQ58" s="98"/>
    </row>
    <row r="59" ht="18.0" customHeight="1">
      <c r="A59" s="96">
        <v>55.0</v>
      </c>
      <c r="B59" s="96">
        <v>100.0</v>
      </c>
      <c r="C59" s="33" t="s">
        <v>130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98"/>
    </row>
    <row r="60" ht="18.0" customHeight="1">
      <c r="A60" s="96">
        <v>56.0</v>
      </c>
      <c r="B60" s="96">
        <v>21.0</v>
      </c>
      <c r="C60" s="32" t="s">
        <v>131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 t="s">
        <v>127</v>
      </c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 t="s">
        <v>127</v>
      </c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98"/>
    </row>
    <row r="61" ht="18.0" customHeight="1">
      <c r="A61" s="96">
        <v>57.0</v>
      </c>
      <c r="B61" s="96">
        <v>2.0</v>
      </c>
      <c r="C61" s="33" t="s">
        <v>210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98"/>
    </row>
    <row r="62" ht="18.0" customHeight="1">
      <c r="A62" s="96">
        <v>58.0</v>
      </c>
      <c r="B62" s="96">
        <v>58.0</v>
      </c>
      <c r="C62" s="33" t="s">
        <v>133</v>
      </c>
      <c r="D62" s="12" t="s">
        <v>127</v>
      </c>
      <c r="E62" s="12"/>
      <c r="F62" s="12" t="s">
        <v>127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 t="s">
        <v>127</v>
      </c>
      <c r="X62" s="12"/>
      <c r="Y62" s="12" t="s">
        <v>127</v>
      </c>
      <c r="Z62" s="12"/>
      <c r="AA62" s="12"/>
      <c r="AB62" s="12"/>
      <c r="AC62" s="12"/>
      <c r="AD62" s="12"/>
      <c r="AE62" s="12"/>
      <c r="AF62" s="12"/>
      <c r="AG62" s="12"/>
      <c r="AH62" s="12" t="s">
        <v>127</v>
      </c>
      <c r="AI62" s="12"/>
      <c r="AJ62" s="12"/>
      <c r="AK62" s="12" t="s">
        <v>127</v>
      </c>
      <c r="AL62" s="12"/>
      <c r="AM62" s="12"/>
      <c r="AN62" s="12"/>
      <c r="AO62" s="12" t="s">
        <v>127</v>
      </c>
      <c r="AP62" s="12"/>
      <c r="AQ62" s="98"/>
    </row>
    <row r="63" ht="21.0" customHeight="1">
      <c r="A63" s="96">
        <v>59.0</v>
      </c>
      <c r="B63" s="96">
        <v>23.0</v>
      </c>
      <c r="C63" s="99" t="s">
        <v>211</v>
      </c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 t="s">
        <v>127</v>
      </c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  <c r="AM63" s="100"/>
      <c r="AN63" s="100"/>
      <c r="AO63" s="100"/>
      <c r="AP63" s="100"/>
      <c r="AQ63" s="101"/>
    </row>
    <row r="64" ht="18.75" customHeight="1">
      <c r="A64" s="102"/>
      <c r="B64" s="102"/>
      <c r="C64" s="102"/>
      <c r="D64" s="103">
        <f t="shared" ref="D64:AQ64" si="1">COUNTA(D5:D63)</f>
        <v>1</v>
      </c>
      <c r="E64" s="104">
        <f t="shared" si="1"/>
        <v>2</v>
      </c>
      <c r="F64" s="104">
        <f t="shared" si="1"/>
        <v>5</v>
      </c>
      <c r="G64" s="104">
        <f t="shared" si="1"/>
        <v>5</v>
      </c>
      <c r="H64" s="104">
        <f t="shared" si="1"/>
        <v>1</v>
      </c>
      <c r="I64" s="104">
        <f t="shared" si="1"/>
        <v>3</v>
      </c>
      <c r="J64" s="104">
        <f t="shared" si="1"/>
        <v>5</v>
      </c>
      <c r="K64" s="104">
        <f t="shared" si="1"/>
        <v>2</v>
      </c>
      <c r="L64" s="104">
        <f t="shared" si="1"/>
        <v>1</v>
      </c>
      <c r="M64" s="104">
        <f t="shared" si="1"/>
        <v>5</v>
      </c>
      <c r="N64" s="104">
        <f t="shared" si="1"/>
        <v>5</v>
      </c>
      <c r="O64" s="104">
        <f t="shared" si="1"/>
        <v>2</v>
      </c>
      <c r="P64" s="104">
        <f t="shared" si="1"/>
        <v>2</v>
      </c>
      <c r="Q64" s="104">
        <f t="shared" si="1"/>
        <v>5</v>
      </c>
      <c r="R64" s="104">
        <f t="shared" si="1"/>
        <v>4</v>
      </c>
      <c r="S64" s="104">
        <f t="shared" si="1"/>
        <v>4</v>
      </c>
      <c r="T64" s="104">
        <f t="shared" si="1"/>
        <v>2</v>
      </c>
      <c r="U64" s="104">
        <f t="shared" si="1"/>
        <v>2</v>
      </c>
      <c r="V64" s="104">
        <f t="shared" si="1"/>
        <v>3</v>
      </c>
      <c r="W64" s="104">
        <f t="shared" si="1"/>
        <v>2</v>
      </c>
      <c r="X64" s="104">
        <f t="shared" si="1"/>
        <v>2</v>
      </c>
      <c r="Y64" s="104">
        <f t="shared" si="1"/>
        <v>2</v>
      </c>
      <c r="Z64" s="104">
        <f t="shared" si="1"/>
        <v>5</v>
      </c>
      <c r="AA64" s="104">
        <f t="shared" si="1"/>
        <v>6</v>
      </c>
      <c r="AB64" s="104">
        <f t="shared" si="1"/>
        <v>2</v>
      </c>
      <c r="AC64" s="104">
        <f t="shared" si="1"/>
        <v>7</v>
      </c>
      <c r="AD64" s="104">
        <f t="shared" si="1"/>
        <v>3</v>
      </c>
      <c r="AE64" s="104">
        <f t="shared" si="1"/>
        <v>2</v>
      </c>
      <c r="AF64" s="104">
        <f t="shared" si="1"/>
        <v>3</v>
      </c>
      <c r="AG64" s="104">
        <f t="shared" si="1"/>
        <v>2</v>
      </c>
      <c r="AH64" s="104">
        <f t="shared" si="1"/>
        <v>6</v>
      </c>
      <c r="AI64" s="104">
        <f t="shared" si="1"/>
        <v>4</v>
      </c>
      <c r="AJ64" s="104">
        <f t="shared" si="1"/>
        <v>2</v>
      </c>
      <c r="AK64" s="104">
        <f t="shared" si="1"/>
        <v>2</v>
      </c>
      <c r="AL64" s="104">
        <f t="shared" si="1"/>
        <v>2</v>
      </c>
      <c r="AM64" s="104">
        <f t="shared" si="1"/>
        <v>2</v>
      </c>
      <c r="AN64" s="104">
        <f t="shared" si="1"/>
        <v>2</v>
      </c>
      <c r="AO64" s="104">
        <f t="shared" si="1"/>
        <v>2</v>
      </c>
      <c r="AP64" s="104">
        <f t="shared" si="1"/>
        <v>2</v>
      </c>
      <c r="AQ64" s="105">
        <f t="shared" si="1"/>
        <v>7</v>
      </c>
    </row>
    <row r="65" ht="15.75" customHeight="1">
      <c r="M65" s="58"/>
      <c r="N65" s="58"/>
      <c r="O65" s="58"/>
    </row>
    <row r="66" ht="15.75" customHeight="1">
      <c r="M66" s="58"/>
      <c r="N66" s="58"/>
      <c r="O66" s="58"/>
    </row>
    <row r="67" ht="15.75" customHeight="1">
      <c r="M67" s="58"/>
      <c r="N67" s="58"/>
      <c r="O67" s="58"/>
    </row>
    <row r="68" ht="15.75" customHeight="1">
      <c r="M68" s="58"/>
      <c r="N68" s="58"/>
      <c r="O68" s="58"/>
    </row>
    <row r="69" ht="15.75" customHeight="1">
      <c r="M69" s="58"/>
      <c r="N69" s="58"/>
      <c r="O69" s="58"/>
    </row>
    <row r="70" ht="15.75" customHeight="1">
      <c r="M70" s="58"/>
      <c r="N70" s="58"/>
      <c r="O70" s="58"/>
    </row>
    <row r="71" ht="15.75" customHeight="1">
      <c r="M71" s="58"/>
      <c r="N71" s="58"/>
      <c r="O71" s="58"/>
    </row>
    <row r="72" ht="15.75" customHeight="1">
      <c r="M72" s="58"/>
      <c r="N72" s="58"/>
      <c r="O72" s="58"/>
    </row>
    <row r="73" ht="15.75" customHeight="1">
      <c r="M73" s="58"/>
      <c r="N73" s="58"/>
      <c r="O73" s="58"/>
    </row>
    <row r="74" ht="15.75" customHeight="1">
      <c r="M74" s="58"/>
      <c r="N74" s="58"/>
      <c r="O74" s="58"/>
    </row>
    <row r="75" ht="15.75" customHeight="1">
      <c r="M75" s="58"/>
      <c r="N75" s="58"/>
      <c r="O75" s="58"/>
    </row>
    <row r="76" ht="15.75" customHeight="1">
      <c r="M76" s="58"/>
      <c r="N76" s="58"/>
      <c r="O76" s="58"/>
    </row>
    <row r="77" ht="15.75" customHeight="1">
      <c r="M77" s="58"/>
      <c r="N77" s="58"/>
      <c r="O77" s="58"/>
    </row>
    <row r="78" ht="15.75" customHeight="1">
      <c r="M78" s="58"/>
      <c r="N78" s="58"/>
      <c r="O78" s="58"/>
    </row>
    <row r="79" ht="15.75" customHeight="1">
      <c r="M79" s="58"/>
      <c r="N79" s="58"/>
      <c r="O79" s="58"/>
    </row>
    <row r="80" ht="15.75" customHeight="1">
      <c r="M80" s="58"/>
      <c r="N80" s="58"/>
      <c r="O80" s="58"/>
    </row>
    <row r="81" ht="15.75" customHeight="1">
      <c r="M81" s="58"/>
      <c r="N81" s="58"/>
      <c r="O81" s="58"/>
    </row>
    <row r="82" ht="15.75" customHeight="1">
      <c r="M82" s="58"/>
      <c r="N82" s="58"/>
      <c r="O82" s="58"/>
    </row>
    <row r="83" ht="15.75" customHeight="1">
      <c r="M83" s="58"/>
      <c r="N83" s="58"/>
      <c r="O83" s="58"/>
    </row>
    <row r="84" ht="15.75" customHeight="1">
      <c r="M84" s="58"/>
      <c r="N84" s="58"/>
      <c r="O84" s="58"/>
    </row>
    <row r="85" ht="15.75" customHeight="1">
      <c r="M85" s="58"/>
      <c r="N85" s="58"/>
      <c r="O85" s="58"/>
    </row>
    <row r="86" ht="15.75" customHeight="1">
      <c r="M86" s="58"/>
      <c r="N86" s="58"/>
      <c r="O86" s="58"/>
    </row>
    <row r="87" ht="15.75" customHeight="1">
      <c r="M87" s="58"/>
      <c r="N87" s="58"/>
      <c r="O87" s="58"/>
    </row>
    <row r="88" ht="15.75" customHeight="1">
      <c r="M88" s="58"/>
      <c r="N88" s="58"/>
      <c r="O88" s="58"/>
    </row>
    <row r="89" ht="15.75" customHeight="1">
      <c r="M89" s="58"/>
      <c r="N89" s="58"/>
      <c r="O89" s="58"/>
    </row>
    <row r="90" ht="15.75" customHeight="1">
      <c r="M90" s="58"/>
      <c r="N90" s="58"/>
      <c r="O90" s="58"/>
    </row>
    <row r="91" ht="15.75" customHeight="1">
      <c r="M91" s="58"/>
      <c r="N91" s="58"/>
      <c r="O91" s="58"/>
    </row>
    <row r="92" ht="15.75" customHeight="1">
      <c r="M92" s="58"/>
      <c r="N92" s="58"/>
      <c r="O92" s="58"/>
    </row>
    <row r="93" ht="15.75" customHeight="1">
      <c r="M93" s="58"/>
      <c r="N93" s="58"/>
      <c r="O93" s="58"/>
    </row>
    <row r="94" ht="15.75" customHeight="1">
      <c r="M94" s="58"/>
      <c r="N94" s="58"/>
      <c r="O94" s="58"/>
    </row>
    <row r="95" ht="15.75" customHeight="1">
      <c r="M95" s="58"/>
      <c r="N95" s="58"/>
      <c r="O95" s="58"/>
    </row>
    <row r="96" ht="15.75" customHeight="1">
      <c r="M96" s="58"/>
      <c r="N96" s="58"/>
      <c r="O96" s="58"/>
    </row>
    <row r="97" ht="15.75" customHeight="1">
      <c r="M97" s="58"/>
      <c r="N97" s="58"/>
      <c r="O97" s="58"/>
    </row>
    <row r="98" ht="15.75" customHeight="1">
      <c r="M98" s="58"/>
      <c r="N98" s="58"/>
      <c r="O98" s="58"/>
    </row>
    <row r="99" ht="15.75" customHeight="1">
      <c r="M99" s="58"/>
      <c r="N99" s="58"/>
      <c r="O99" s="58"/>
    </row>
    <row r="100" ht="15.75" customHeight="1">
      <c r="M100" s="58"/>
      <c r="N100" s="58"/>
      <c r="O100" s="58"/>
    </row>
    <row r="101" ht="15.75" customHeight="1">
      <c r="M101" s="58"/>
      <c r="N101" s="58"/>
      <c r="O101" s="58"/>
    </row>
    <row r="102" ht="15.75" customHeight="1">
      <c r="M102" s="58"/>
      <c r="N102" s="58"/>
      <c r="O102" s="58"/>
    </row>
    <row r="103" ht="15.75" customHeight="1">
      <c r="M103" s="58"/>
      <c r="N103" s="58"/>
      <c r="O103" s="58"/>
    </row>
    <row r="104" ht="15.75" customHeight="1">
      <c r="M104" s="58"/>
      <c r="N104" s="58"/>
      <c r="O104" s="58"/>
    </row>
    <row r="105" ht="15.75" customHeight="1">
      <c r="M105" s="58"/>
      <c r="N105" s="58"/>
      <c r="O105" s="58"/>
    </row>
    <row r="106" ht="15.75" customHeight="1">
      <c r="M106" s="58"/>
      <c r="N106" s="58"/>
      <c r="O106" s="58"/>
    </row>
    <row r="107" ht="15.75" customHeight="1">
      <c r="M107" s="58"/>
      <c r="N107" s="58"/>
      <c r="O107" s="58"/>
    </row>
    <row r="108" ht="15.75" customHeight="1">
      <c r="M108" s="58"/>
      <c r="N108" s="58"/>
      <c r="O108" s="58"/>
    </row>
    <row r="109" ht="15.75" customHeight="1">
      <c r="M109" s="58"/>
      <c r="N109" s="58"/>
      <c r="O109" s="58"/>
    </row>
    <row r="110" ht="15.75" customHeight="1">
      <c r="M110" s="58"/>
      <c r="N110" s="58"/>
      <c r="O110" s="58"/>
    </row>
    <row r="111" ht="15.75" customHeight="1">
      <c r="M111" s="58"/>
      <c r="N111" s="58"/>
      <c r="O111" s="58"/>
    </row>
    <row r="112" ht="15.75" customHeight="1">
      <c r="M112" s="58"/>
      <c r="N112" s="58"/>
      <c r="O112" s="58"/>
    </row>
    <row r="113" ht="15.75" customHeight="1">
      <c r="M113" s="58"/>
      <c r="N113" s="58"/>
      <c r="O113" s="58"/>
    </row>
    <row r="114" ht="15.75" customHeight="1">
      <c r="M114" s="58"/>
      <c r="N114" s="58"/>
      <c r="O114" s="58"/>
    </row>
    <row r="115" ht="15.75" customHeight="1">
      <c r="M115" s="58"/>
      <c r="N115" s="58"/>
      <c r="O115" s="58"/>
    </row>
    <row r="116" ht="15.75" customHeight="1">
      <c r="M116" s="58"/>
      <c r="N116" s="58"/>
      <c r="O116" s="58"/>
    </row>
    <row r="117" ht="15.75" customHeight="1">
      <c r="M117" s="58"/>
      <c r="N117" s="58"/>
      <c r="O117" s="58"/>
    </row>
    <row r="118" ht="15.75" customHeight="1">
      <c r="M118" s="58"/>
      <c r="N118" s="58"/>
      <c r="O118" s="58"/>
    </row>
    <row r="119" ht="15.75" customHeight="1">
      <c r="M119" s="58"/>
      <c r="N119" s="58"/>
      <c r="O119" s="58"/>
    </row>
    <row r="120" ht="15.75" customHeight="1">
      <c r="M120" s="58"/>
      <c r="N120" s="58"/>
      <c r="O120" s="58"/>
    </row>
    <row r="121" ht="15.75" customHeight="1">
      <c r="M121" s="58"/>
      <c r="N121" s="58"/>
      <c r="O121" s="58"/>
    </row>
    <row r="122" ht="15.75" customHeight="1">
      <c r="M122" s="58"/>
      <c r="N122" s="58"/>
      <c r="O122" s="58"/>
    </row>
    <row r="123" ht="15.75" customHeight="1">
      <c r="M123" s="58"/>
      <c r="N123" s="58"/>
      <c r="O123" s="58"/>
    </row>
    <row r="124" ht="15.75" customHeight="1">
      <c r="M124" s="58"/>
      <c r="N124" s="58"/>
      <c r="O124" s="58"/>
    </row>
    <row r="125" ht="15.75" customHeight="1">
      <c r="M125" s="58"/>
      <c r="N125" s="58"/>
      <c r="O125" s="58"/>
    </row>
    <row r="126" ht="15.75" customHeight="1">
      <c r="M126" s="58"/>
      <c r="N126" s="58"/>
      <c r="O126" s="58"/>
    </row>
    <row r="127" ht="15.75" customHeight="1">
      <c r="M127" s="58"/>
      <c r="N127" s="58"/>
      <c r="O127" s="58"/>
    </row>
    <row r="128" ht="15.75" customHeight="1">
      <c r="M128" s="58"/>
      <c r="N128" s="58"/>
      <c r="O128" s="58"/>
    </row>
    <row r="129" ht="15.75" customHeight="1">
      <c r="M129" s="58"/>
      <c r="N129" s="58"/>
      <c r="O129" s="58"/>
    </row>
    <row r="130" ht="15.75" customHeight="1">
      <c r="M130" s="58"/>
      <c r="N130" s="58"/>
      <c r="O130" s="58"/>
    </row>
    <row r="131" ht="15.75" customHeight="1">
      <c r="M131" s="58"/>
      <c r="N131" s="58"/>
      <c r="O131" s="58"/>
    </row>
    <row r="132" ht="15.75" customHeight="1">
      <c r="M132" s="58"/>
      <c r="N132" s="58"/>
      <c r="O132" s="58"/>
    </row>
    <row r="133" ht="15.75" customHeight="1">
      <c r="M133" s="58"/>
      <c r="N133" s="58"/>
      <c r="O133" s="58"/>
    </row>
    <row r="134" ht="15.75" customHeight="1">
      <c r="M134" s="58"/>
      <c r="N134" s="58"/>
      <c r="O134" s="58"/>
    </row>
    <row r="135" ht="15.75" customHeight="1">
      <c r="M135" s="58"/>
      <c r="N135" s="58"/>
      <c r="O135" s="58"/>
    </row>
    <row r="136" ht="15.75" customHeight="1">
      <c r="M136" s="58"/>
      <c r="N136" s="58"/>
      <c r="O136" s="58"/>
    </row>
    <row r="137" ht="15.75" customHeight="1">
      <c r="M137" s="58"/>
      <c r="N137" s="58"/>
      <c r="O137" s="58"/>
    </row>
    <row r="138" ht="15.75" customHeight="1">
      <c r="M138" s="58"/>
      <c r="N138" s="58"/>
      <c r="O138" s="58"/>
    </row>
    <row r="139" ht="15.75" customHeight="1">
      <c r="M139" s="58"/>
      <c r="N139" s="58"/>
      <c r="O139" s="58"/>
    </row>
    <row r="140" ht="15.75" customHeight="1">
      <c r="M140" s="58"/>
      <c r="N140" s="58"/>
      <c r="O140" s="58"/>
    </row>
    <row r="141" ht="15.75" customHeight="1">
      <c r="M141" s="58"/>
      <c r="N141" s="58"/>
      <c r="O141" s="58"/>
    </row>
    <row r="142" ht="15.75" customHeight="1">
      <c r="M142" s="58"/>
      <c r="N142" s="58"/>
      <c r="O142" s="58"/>
    </row>
    <row r="143" ht="15.75" customHeight="1">
      <c r="M143" s="58"/>
      <c r="N143" s="58"/>
      <c r="O143" s="58"/>
    </row>
    <row r="144" ht="15.75" customHeight="1">
      <c r="M144" s="58"/>
      <c r="N144" s="58"/>
      <c r="O144" s="58"/>
    </row>
    <row r="145" ht="15.75" customHeight="1">
      <c r="M145" s="58"/>
      <c r="N145" s="58"/>
      <c r="O145" s="58"/>
    </row>
    <row r="146" ht="15.75" customHeight="1">
      <c r="M146" s="58"/>
      <c r="N146" s="58"/>
      <c r="O146" s="58"/>
    </row>
    <row r="147" ht="15.75" customHeight="1">
      <c r="M147" s="58"/>
      <c r="N147" s="58"/>
      <c r="O147" s="58"/>
    </row>
    <row r="148" ht="15.75" customHeight="1">
      <c r="M148" s="58"/>
      <c r="N148" s="58"/>
      <c r="O148" s="58"/>
    </row>
    <row r="149" ht="15.75" customHeight="1">
      <c r="M149" s="58"/>
      <c r="N149" s="58"/>
      <c r="O149" s="58"/>
    </row>
    <row r="150" ht="15.75" customHeight="1">
      <c r="M150" s="58"/>
      <c r="N150" s="58"/>
      <c r="O150" s="58"/>
    </row>
    <row r="151" ht="15.75" customHeight="1">
      <c r="M151" s="58"/>
      <c r="N151" s="58"/>
      <c r="O151" s="58"/>
    </row>
    <row r="152" ht="15.75" customHeight="1">
      <c r="M152" s="58"/>
      <c r="N152" s="58"/>
      <c r="O152" s="58"/>
    </row>
    <row r="153" ht="15.75" customHeight="1">
      <c r="M153" s="58"/>
      <c r="N153" s="58"/>
      <c r="O153" s="58"/>
    </row>
    <row r="154" ht="15.75" customHeight="1">
      <c r="M154" s="58"/>
      <c r="N154" s="58"/>
      <c r="O154" s="58"/>
    </row>
    <row r="155" ht="15.75" customHeight="1">
      <c r="M155" s="58"/>
      <c r="N155" s="58"/>
      <c r="O155" s="58"/>
    </row>
    <row r="156" ht="15.75" customHeight="1">
      <c r="M156" s="58"/>
      <c r="N156" s="58"/>
      <c r="O156" s="58"/>
    </row>
    <row r="157" ht="15.75" customHeight="1">
      <c r="M157" s="58"/>
      <c r="N157" s="58"/>
      <c r="O157" s="58"/>
    </row>
    <row r="158" ht="15.75" customHeight="1">
      <c r="M158" s="58"/>
      <c r="N158" s="58"/>
      <c r="O158" s="58"/>
    </row>
    <row r="159" ht="15.75" customHeight="1">
      <c r="M159" s="58"/>
      <c r="N159" s="58"/>
      <c r="O159" s="58"/>
    </row>
    <row r="160" ht="15.75" customHeight="1">
      <c r="M160" s="58"/>
      <c r="N160" s="58"/>
      <c r="O160" s="58"/>
    </row>
    <row r="161" ht="15.75" customHeight="1">
      <c r="M161" s="58"/>
      <c r="N161" s="58"/>
      <c r="O161" s="58"/>
    </row>
    <row r="162" ht="15.75" customHeight="1">
      <c r="M162" s="58"/>
      <c r="N162" s="58"/>
      <c r="O162" s="58"/>
    </row>
    <row r="163" ht="15.75" customHeight="1">
      <c r="M163" s="58"/>
      <c r="N163" s="58"/>
      <c r="O163" s="58"/>
    </row>
    <row r="164" ht="15.75" customHeight="1">
      <c r="M164" s="58"/>
      <c r="N164" s="58"/>
      <c r="O164" s="58"/>
    </row>
    <row r="165" ht="15.75" customHeight="1">
      <c r="M165" s="58"/>
      <c r="N165" s="58"/>
      <c r="O165" s="58"/>
    </row>
    <row r="166" ht="15.75" customHeight="1">
      <c r="M166" s="58"/>
      <c r="N166" s="58"/>
      <c r="O166" s="58"/>
    </row>
    <row r="167" ht="15.75" customHeight="1">
      <c r="M167" s="58"/>
      <c r="N167" s="58"/>
      <c r="O167" s="58"/>
    </row>
    <row r="168" ht="15.75" customHeight="1">
      <c r="M168" s="58"/>
      <c r="N168" s="58"/>
      <c r="O168" s="58"/>
    </row>
    <row r="169" ht="15.75" customHeight="1">
      <c r="M169" s="58"/>
      <c r="N169" s="58"/>
      <c r="O169" s="58"/>
    </row>
    <row r="170" ht="15.75" customHeight="1">
      <c r="M170" s="58"/>
      <c r="N170" s="58"/>
      <c r="O170" s="58"/>
    </row>
    <row r="171" ht="15.75" customHeight="1">
      <c r="M171" s="58"/>
      <c r="N171" s="58"/>
      <c r="O171" s="58"/>
    </row>
    <row r="172" ht="15.75" customHeight="1">
      <c r="M172" s="58"/>
      <c r="N172" s="58"/>
      <c r="O172" s="58"/>
    </row>
    <row r="173" ht="15.75" customHeight="1">
      <c r="M173" s="58"/>
      <c r="N173" s="58"/>
      <c r="O173" s="58"/>
    </row>
    <row r="174" ht="15.75" customHeight="1">
      <c r="M174" s="58"/>
      <c r="N174" s="58"/>
      <c r="O174" s="58"/>
    </row>
    <row r="175" ht="15.75" customHeight="1">
      <c r="M175" s="58"/>
      <c r="N175" s="58"/>
      <c r="O175" s="58"/>
    </row>
    <row r="176" ht="15.75" customHeight="1">
      <c r="M176" s="58"/>
      <c r="N176" s="58"/>
      <c r="O176" s="58"/>
    </row>
    <row r="177" ht="15.75" customHeight="1">
      <c r="M177" s="58"/>
      <c r="N177" s="58"/>
      <c r="O177" s="58"/>
    </row>
    <row r="178" ht="15.75" customHeight="1">
      <c r="M178" s="58"/>
      <c r="N178" s="58"/>
      <c r="O178" s="58"/>
    </row>
    <row r="179" ht="15.75" customHeight="1">
      <c r="M179" s="58"/>
      <c r="N179" s="58"/>
      <c r="O179" s="58"/>
    </row>
    <row r="180" ht="15.75" customHeight="1">
      <c r="M180" s="58"/>
      <c r="N180" s="58"/>
      <c r="O180" s="58"/>
    </row>
    <row r="181" ht="15.75" customHeight="1">
      <c r="M181" s="58"/>
      <c r="N181" s="58"/>
      <c r="O181" s="58"/>
    </row>
    <row r="182" ht="15.75" customHeight="1">
      <c r="M182" s="58"/>
      <c r="N182" s="58"/>
      <c r="O182" s="58"/>
    </row>
    <row r="183" ht="15.75" customHeight="1">
      <c r="M183" s="58"/>
      <c r="N183" s="58"/>
      <c r="O183" s="58"/>
    </row>
    <row r="184" ht="15.75" customHeight="1">
      <c r="M184" s="58"/>
      <c r="N184" s="58"/>
      <c r="O184" s="58"/>
    </row>
    <row r="185" ht="15.75" customHeight="1">
      <c r="M185" s="58"/>
      <c r="N185" s="58"/>
      <c r="O185" s="58"/>
    </row>
    <row r="186" ht="15.75" customHeight="1">
      <c r="M186" s="58"/>
      <c r="N186" s="58"/>
      <c r="O186" s="58"/>
    </row>
    <row r="187" ht="15.75" customHeight="1">
      <c r="M187" s="58"/>
      <c r="N187" s="58"/>
      <c r="O187" s="58"/>
    </row>
    <row r="188" ht="15.75" customHeight="1">
      <c r="M188" s="58"/>
      <c r="N188" s="58"/>
      <c r="O188" s="58"/>
    </row>
    <row r="189" ht="15.75" customHeight="1">
      <c r="M189" s="58"/>
      <c r="N189" s="58"/>
      <c r="O189" s="58"/>
    </row>
    <row r="190" ht="15.75" customHeight="1">
      <c r="M190" s="58"/>
      <c r="N190" s="58"/>
      <c r="O190" s="58"/>
    </row>
    <row r="191" ht="15.75" customHeight="1">
      <c r="M191" s="58"/>
      <c r="N191" s="58"/>
      <c r="O191" s="58"/>
    </row>
    <row r="192" ht="15.75" customHeight="1">
      <c r="M192" s="58"/>
      <c r="N192" s="58"/>
      <c r="O192" s="58"/>
    </row>
    <row r="193" ht="15.75" customHeight="1">
      <c r="M193" s="58"/>
      <c r="N193" s="58"/>
      <c r="O193" s="58"/>
    </row>
    <row r="194" ht="15.75" customHeight="1">
      <c r="M194" s="58"/>
      <c r="N194" s="58"/>
      <c r="O194" s="58"/>
    </row>
    <row r="195" ht="15.75" customHeight="1">
      <c r="M195" s="58"/>
      <c r="N195" s="58"/>
      <c r="O195" s="58"/>
    </row>
    <row r="196" ht="15.75" customHeight="1">
      <c r="M196" s="58"/>
      <c r="N196" s="58"/>
      <c r="O196" s="58"/>
    </row>
    <row r="197" ht="15.75" customHeight="1">
      <c r="M197" s="58"/>
      <c r="N197" s="58"/>
      <c r="O197" s="58"/>
    </row>
    <row r="198" ht="15.75" customHeight="1">
      <c r="M198" s="58"/>
      <c r="N198" s="58"/>
      <c r="O198" s="58"/>
    </row>
    <row r="199" ht="15.75" customHeight="1">
      <c r="M199" s="58"/>
      <c r="N199" s="58"/>
      <c r="O199" s="58"/>
    </row>
    <row r="200" ht="15.75" customHeight="1">
      <c r="M200" s="58"/>
      <c r="N200" s="58"/>
      <c r="O200" s="58"/>
    </row>
    <row r="201" ht="15.75" customHeight="1">
      <c r="M201" s="58"/>
      <c r="N201" s="58"/>
      <c r="O201" s="58"/>
    </row>
    <row r="202" ht="15.75" customHeight="1">
      <c r="M202" s="58"/>
      <c r="N202" s="58"/>
      <c r="O202" s="58"/>
    </row>
    <row r="203" ht="15.75" customHeight="1">
      <c r="M203" s="58"/>
      <c r="N203" s="58"/>
      <c r="O203" s="58"/>
    </row>
    <row r="204" ht="15.75" customHeight="1">
      <c r="M204" s="58"/>
      <c r="N204" s="58"/>
      <c r="O204" s="58"/>
    </row>
    <row r="205" ht="15.75" customHeight="1">
      <c r="M205" s="58"/>
      <c r="N205" s="58"/>
      <c r="O205" s="58"/>
    </row>
    <row r="206" ht="15.75" customHeight="1">
      <c r="M206" s="58"/>
      <c r="N206" s="58"/>
      <c r="O206" s="58"/>
    </row>
    <row r="207" ht="15.75" customHeight="1">
      <c r="M207" s="58"/>
      <c r="N207" s="58"/>
      <c r="O207" s="58"/>
    </row>
    <row r="208" ht="15.75" customHeight="1">
      <c r="M208" s="58"/>
      <c r="N208" s="58"/>
      <c r="O208" s="58"/>
    </row>
    <row r="209" ht="15.75" customHeight="1">
      <c r="M209" s="58"/>
      <c r="N209" s="58"/>
      <c r="O209" s="58"/>
    </row>
    <row r="210" ht="15.75" customHeight="1">
      <c r="M210" s="58"/>
      <c r="N210" s="58"/>
      <c r="O210" s="58"/>
    </row>
    <row r="211" ht="15.75" customHeight="1">
      <c r="M211" s="58"/>
      <c r="N211" s="58"/>
      <c r="O211" s="58"/>
    </row>
    <row r="212" ht="15.75" customHeight="1">
      <c r="M212" s="58"/>
      <c r="N212" s="58"/>
      <c r="O212" s="58"/>
    </row>
    <row r="213" ht="15.75" customHeight="1">
      <c r="M213" s="58"/>
      <c r="N213" s="58"/>
      <c r="O213" s="58"/>
    </row>
    <row r="214" ht="15.75" customHeight="1">
      <c r="M214" s="58"/>
      <c r="N214" s="58"/>
      <c r="O214" s="58"/>
    </row>
    <row r="215" ht="15.75" customHeight="1">
      <c r="M215" s="58"/>
      <c r="N215" s="58"/>
      <c r="O215" s="58"/>
    </row>
    <row r="216" ht="15.75" customHeight="1">
      <c r="M216" s="58"/>
      <c r="N216" s="58"/>
      <c r="O216" s="58"/>
    </row>
    <row r="217" ht="15.75" customHeight="1">
      <c r="M217" s="58"/>
      <c r="N217" s="58"/>
      <c r="O217" s="58"/>
    </row>
    <row r="218" ht="15.75" customHeight="1">
      <c r="M218" s="58"/>
      <c r="N218" s="58"/>
      <c r="O218" s="58"/>
    </row>
    <row r="219" ht="15.75" customHeight="1">
      <c r="M219" s="58"/>
      <c r="N219" s="58"/>
      <c r="O219" s="58"/>
    </row>
    <row r="220" ht="15.75" customHeight="1">
      <c r="M220" s="58"/>
      <c r="N220" s="58"/>
      <c r="O220" s="58"/>
    </row>
    <row r="221" ht="15.75" customHeight="1">
      <c r="M221" s="58"/>
      <c r="N221" s="58"/>
      <c r="O221" s="58"/>
    </row>
    <row r="222" ht="15.75" customHeight="1">
      <c r="M222" s="58"/>
      <c r="N222" s="58"/>
      <c r="O222" s="58"/>
    </row>
    <row r="223" ht="15.75" customHeight="1">
      <c r="M223" s="58"/>
      <c r="N223" s="58"/>
      <c r="O223" s="58"/>
    </row>
    <row r="224" ht="15.75" customHeight="1">
      <c r="M224" s="58"/>
      <c r="N224" s="58"/>
      <c r="O224" s="58"/>
    </row>
    <row r="225" ht="15.75" customHeight="1">
      <c r="M225" s="58"/>
      <c r="N225" s="58"/>
      <c r="O225" s="58"/>
    </row>
    <row r="226" ht="15.75" customHeight="1">
      <c r="M226" s="58"/>
      <c r="N226" s="58"/>
      <c r="O226" s="58"/>
    </row>
    <row r="227" ht="15.75" customHeight="1">
      <c r="M227" s="58"/>
      <c r="N227" s="58"/>
      <c r="O227" s="58"/>
    </row>
    <row r="228" ht="15.75" customHeight="1">
      <c r="M228" s="58"/>
      <c r="N228" s="58"/>
      <c r="O228" s="58"/>
    </row>
    <row r="229" ht="15.75" customHeight="1">
      <c r="M229" s="58"/>
      <c r="N229" s="58"/>
      <c r="O229" s="58"/>
    </row>
    <row r="230" ht="15.75" customHeight="1">
      <c r="M230" s="58"/>
      <c r="N230" s="58"/>
      <c r="O230" s="58"/>
    </row>
    <row r="231" ht="15.75" customHeight="1">
      <c r="M231" s="58"/>
      <c r="N231" s="58"/>
      <c r="O231" s="58"/>
    </row>
    <row r="232" ht="15.75" customHeight="1">
      <c r="M232" s="58"/>
      <c r="N232" s="58"/>
      <c r="O232" s="58"/>
    </row>
    <row r="233" ht="15.75" customHeight="1">
      <c r="M233" s="58"/>
      <c r="N233" s="58"/>
      <c r="O233" s="58"/>
    </row>
    <row r="234" ht="15.75" customHeight="1">
      <c r="M234" s="58"/>
      <c r="N234" s="58"/>
      <c r="O234" s="58"/>
    </row>
    <row r="235" ht="15.75" customHeight="1">
      <c r="M235" s="58"/>
      <c r="N235" s="58"/>
      <c r="O235" s="58"/>
    </row>
    <row r="236" ht="15.75" customHeight="1">
      <c r="M236" s="58"/>
      <c r="N236" s="58"/>
      <c r="O236" s="58"/>
    </row>
    <row r="237" ht="15.75" customHeight="1">
      <c r="M237" s="58"/>
      <c r="N237" s="58"/>
      <c r="O237" s="58"/>
    </row>
    <row r="238" ht="15.75" customHeight="1">
      <c r="M238" s="58"/>
      <c r="N238" s="58"/>
      <c r="O238" s="58"/>
    </row>
    <row r="239" ht="15.75" customHeight="1">
      <c r="M239" s="58"/>
      <c r="N239" s="58"/>
      <c r="O239" s="58"/>
    </row>
    <row r="240" ht="15.75" customHeight="1">
      <c r="M240" s="58"/>
      <c r="N240" s="58"/>
      <c r="O240" s="58"/>
    </row>
    <row r="241" ht="15.75" customHeight="1">
      <c r="M241" s="58"/>
      <c r="N241" s="58"/>
      <c r="O241" s="58"/>
    </row>
    <row r="242" ht="15.75" customHeight="1">
      <c r="M242" s="58"/>
      <c r="N242" s="58"/>
      <c r="O242" s="58"/>
    </row>
    <row r="243" ht="15.75" customHeight="1">
      <c r="M243" s="58"/>
      <c r="N243" s="58"/>
      <c r="O243" s="58"/>
    </row>
    <row r="244" ht="15.75" customHeight="1">
      <c r="M244" s="58"/>
      <c r="N244" s="58"/>
      <c r="O244" s="58"/>
    </row>
    <row r="245" ht="15.75" customHeight="1">
      <c r="M245" s="58"/>
      <c r="N245" s="58"/>
      <c r="O245" s="58"/>
    </row>
    <row r="246" ht="15.75" customHeight="1">
      <c r="M246" s="58"/>
      <c r="N246" s="58"/>
      <c r="O246" s="58"/>
    </row>
    <row r="247" ht="15.75" customHeight="1">
      <c r="M247" s="58"/>
      <c r="N247" s="58"/>
      <c r="O247" s="58"/>
    </row>
    <row r="248" ht="15.75" customHeight="1">
      <c r="M248" s="58"/>
      <c r="N248" s="58"/>
      <c r="O248" s="58"/>
    </row>
    <row r="249" ht="15.75" customHeight="1">
      <c r="M249" s="58"/>
      <c r="N249" s="58"/>
      <c r="O249" s="58"/>
    </row>
    <row r="250" ht="15.75" customHeight="1">
      <c r="M250" s="58"/>
      <c r="N250" s="58"/>
      <c r="O250" s="58"/>
    </row>
    <row r="251" ht="15.75" customHeight="1">
      <c r="M251" s="58"/>
      <c r="N251" s="58"/>
      <c r="O251" s="58"/>
    </row>
    <row r="252" ht="15.75" customHeight="1">
      <c r="M252" s="58"/>
      <c r="N252" s="58"/>
      <c r="O252" s="58"/>
    </row>
    <row r="253" ht="15.75" customHeight="1">
      <c r="M253" s="58"/>
      <c r="N253" s="58"/>
      <c r="O253" s="58"/>
    </row>
    <row r="254" ht="15.75" customHeight="1">
      <c r="M254" s="58"/>
      <c r="N254" s="58"/>
      <c r="O254" s="58"/>
    </row>
    <row r="255" ht="15.75" customHeight="1">
      <c r="M255" s="58"/>
      <c r="N255" s="58"/>
      <c r="O255" s="58"/>
    </row>
    <row r="256" ht="15.75" customHeight="1">
      <c r="M256" s="58"/>
      <c r="N256" s="58"/>
      <c r="O256" s="58"/>
    </row>
    <row r="257" ht="15.75" customHeight="1">
      <c r="M257" s="58"/>
      <c r="N257" s="58"/>
      <c r="O257" s="58"/>
    </row>
    <row r="258" ht="15.75" customHeight="1">
      <c r="M258" s="58"/>
      <c r="N258" s="58"/>
      <c r="O258" s="58"/>
    </row>
    <row r="259" ht="15.75" customHeight="1">
      <c r="M259" s="58"/>
      <c r="N259" s="58"/>
      <c r="O259" s="58"/>
    </row>
    <row r="260" ht="15.75" customHeight="1">
      <c r="M260" s="58"/>
      <c r="N260" s="58"/>
      <c r="O260" s="58"/>
    </row>
    <row r="261" ht="15.75" customHeight="1">
      <c r="M261" s="58"/>
      <c r="N261" s="58"/>
      <c r="O261" s="58"/>
    </row>
    <row r="262" ht="15.75" customHeight="1">
      <c r="M262" s="58"/>
      <c r="N262" s="58"/>
      <c r="O262" s="58"/>
    </row>
    <row r="263" ht="15.75" customHeight="1">
      <c r="M263" s="58"/>
      <c r="N263" s="58"/>
      <c r="O263" s="58"/>
    </row>
    <row r="264" ht="15.75" customHeight="1">
      <c r="M264" s="58"/>
      <c r="N264" s="58"/>
      <c r="O264" s="58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AQ$64">
    <sortState ref="A4:AQ64">
      <sortCondition ref="C4:C64"/>
    </sortState>
  </autoFilter>
  <mergeCells count="3">
    <mergeCell ref="D1:S1"/>
    <mergeCell ref="T1:AG1"/>
    <mergeCell ref="AH1:AQ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3.86"/>
    <col customWidth="1" min="2" max="2" width="44.29"/>
    <col customWidth="1" min="3" max="3" width="20.57"/>
    <col customWidth="1" min="4" max="5" width="6.43"/>
    <col customWidth="1" min="6" max="6" width="14.29"/>
    <col customWidth="1" min="7" max="7" width="11.57"/>
    <col customWidth="1" min="8" max="8" width="2.0"/>
    <col customWidth="1" min="9" max="26" width="10.0"/>
  </cols>
  <sheetData>
    <row r="1" ht="15.75" customHeight="1">
      <c r="A1" s="106"/>
      <c r="B1" s="107" t="s">
        <v>0</v>
      </c>
      <c r="C1" s="108"/>
      <c r="D1" s="108"/>
      <c r="E1" s="109">
        <f>COUNTIF(E2:E73,"x")</f>
        <v>0</v>
      </c>
      <c r="F1" s="109" t="s">
        <v>6</v>
      </c>
      <c r="G1" s="109" t="s">
        <v>7</v>
      </c>
    </row>
    <row r="2" ht="18.0" customHeight="1">
      <c r="A2" s="8">
        <v>1.0</v>
      </c>
      <c r="B2" s="9" t="s">
        <v>47</v>
      </c>
      <c r="C2" s="10" t="s">
        <v>48</v>
      </c>
      <c r="D2" s="11" t="s">
        <v>49</v>
      </c>
      <c r="E2" s="110" t="s">
        <v>127</v>
      </c>
      <c r="F2" s="111"/>
      <c r="G2" s="111"/>
      <c r="H2" s="54">
        <f t="shared" ref="H2:H73" si="1">COUNTA(F2:G2)</f>
        <v>0</v>
      </c>
    </row>
    <row r="3" ht="18.0" hidden="1" customHeight="1">
      <c r="A3" s="8">
        <v>2.0</v>
      </c>
      <c r="B3" s="17" t="s">
        <v>50</v>
      </c>
      <c r="C3" s="10" t="s">
        <v>48</v>
      </c>
      <c r="D3" s="11" t="s">
        <v>51</v>
      </c>
      <c r="E3" s="110"/>
      <c r="F3" s="112" t="s">
        <v>212</v>
      </c>
      <c r="G3" s="112" t="s">
        <v>212</v>
      </c>
      <c r="H3" s="54">
        <f t="shared" si="1"/>
        <v>2</v>
      </c>
    </row>
    <row r="4" ht="18.0" hidden="1" customHeight="1">
      <c r="A4" s="8">
        <v>3.0</v>
      </c>
      <c r="B4" s="9" t="s">
        <v>213</v>
      </c>
      <c r="C4" s="10" t="s">
        <v>48</v>
      </c>
      <c r="D4" s="11" t="s">
        <v>49</v>
      </c>
      <c r="E4" s="110"/>
      <c r="F4" s="111"/>
      <c r="G4" s="111"/>
      <c r="H4" s="54">
        <f t="shared" si="1"/>
        <v>0</v>
      </c>
    </row>
    <row r="5" ht="18.0" hidden="1" customHeight="1">
      <c r="A5" s="8">
        <v>4.0</v>
      </c>
      <c r="B5" s="9" t="s">
        <v>52</v>
      </c>
      <c r="C5" s="10" t="s">
        <v>55</v>
      </c>
      <c r="D5" s="20" t="s">
        <v>51</v>
      </c>
      <c r="E5" s="113"/>
      <c r="F5" s="12">
        <v>2017.0</v>
      </c>
      <c r="G5" s="12">
        <v>2015.0</v>
      </c>
      <c r="H5" s="54">
        <f t="shared" si="1"/>
        <v>2</v>
      </c>
    </row>
    <row r="6" ht="18.0" hidden="1" customHeight="1">
      <c r="A6" s="8">
        <v>5.0</v>
      </c>
      <c r="B6" s="9" t="s">
        <v>54</v>
      </c>
      <c r="C6" s="10" t="s">
        <v>48</v>
      </c>
      <c r="D6" s="20" t="s">
        <v>51</v>
      </c>
      <c r="E6" s="110"/>
      <c r="F6" s="111"/>
      <c r="G6" s="111"/>
      <c r="H6" s="54">
        <f t="shared" si="1"/>
        <v>0</v>
      </c>
    </row>
    <row r="7" ht="18.0" hidden="1" customHeight="1">
      <c r="A7" s="8">
        <v>6.0</v>
      </c>
      <c r="B7" s="9" t="s">
        <v>56</v>
      </c>
      <c r="C7" s="10" t="s">
        <v>48</v>
      </c>
      <c r="D7" s="20" t="s">
        <v>49</v>
      </c>
      <c r="E7" s="110"/>
      <c r="F7" s="111"/>
      <c r="G7" s="111"/>
      <c r="H7" s="54">
        <f t="shared" si="1"/>
        <v>0</v>
      </c>
    </row>
    <row r="8" ht="18.0" hidden="1" customHeight="1">
      <c r="A8" s="8">
        <v>7.0</v>
      </c>
      <c r="B8" s="9" t="s">
        <v>57</v>
      </c>
      <c r="C8" s="10" t="s">
        <v>48</v>
      </c>
      <c r="D8" s="20" t="s">
        <v>49</v>
      </c>
      <c r="E8" s="110"/>
      <c r="F8" s="111"/>
      <c r="G8" s="111"/>
      <c r="H8" s="54">
        <f t="shared" si="1"/>
        <v>0</v>
      </c>
    </row>
    <row r="9" ht="18.0" customHeight="1">
      <c r="A9" s="8">
        <v>8.0</v>
      </c>
      <c r="B9" s="114" t="s">
        <v>58</v>
      </c>
      <c r="C9" s="115" t="s">
        <v>55</v>
      </c>
      <c r="D9" s="116" t="s">
        <v>51</v>
      </c>
      <c r="E9" s="117" t="s">
        <v>127</v>
      </c>
      <c r="F9" s="111"/>
      <c r="G9" s="111"/>
      <c r="H9" s="54">
        <f t="shared" si="1"/>
        <v>0</v>
      </c>
    </row>
    <row r="10" ht="18.0" hidden="1" customHeight="1">
      <c r="A10" s="8">
        <v>9.0</v>
      </c>
      <c r="B10" s="31" t="s">
        <v>194</v>
      </c>
      <c r="C10" s="53" t="s">
        <v>214</v>
      </c>
      <c r="D10" s="32" t="s">
        <v>49</v>
      </c>
      <c r="E10" s="118"/>
      <c r="F10" s="12">
        <v>2017.0</v>
      </c>
      <c r="G10" s="111"/>
      <c r="H10" s="54">
        <f t="shared" si="1"/>
        <v>1</v>
      </c>
    </row>
    <row r="11" ht="18.0" hidden="1" customHeight="1">
      <c r="A11" s="8">
        <v>10.0</v>
      </c>
      <c r="B11" s="31" t="s">
        <v>59</v>
      </c>
      <c r="C11" s="10" t="s">
        <v>55</v>
      </c>
      <c r="D11" s="32" t="s">
        <v>49</v>
      </c>
      <c r="E11" s="110"/>
      <c r="F11" s="111"/>
      <c r="G11" s="111">
        <v>2013.0</v>
      </c>
      <c r="H11" s="54">
        <f t="shared" si="1"/>
        <v>1</v>
      </c>
    </row>
    <row r="12" ht="18.0" hidden="1" customHeight="1">
      <c r="A12" s="8">
        <v>11.0</v>
      </c>
      <c r="B12" s="17" t="s">
        <v>61</v>
      </c>
      <c r="C12" s="10" t="s">
        <v>55</v>
      </c>
      <c r="D12" s="20" t="s">
        <v>49</v>
      </c>
      <c r="E12" s="113"/>
      <c r="F12" s="12">
        <v>2017.0</v>
      </c>
      <c r="G12" s="111" t="s">
        <v>112</v>
      </c>
      <c r="H12" s="54">
        <f t="shared" si="1"/>
        <v>2</v>
      </c>
    </row>
    <row r="13" ht="18.0" hidden="1" customHeight="1">
      <c r="A13" s="8">
        <v>12.0</v>
      </c>
      <c r="B13" s="9" t="s">
        <v>65</v>
      </c>
      <c r="C13" s="10" t="s">
        <v>48</v>
      </c>
      <c r="D13" s="20" t="s">
        <v>49</v>
      </c>
      <c r="E13" s="110"/>
      <c r="F13" s="111"/>
      <c r="G13" s="111"/>
      <c r="H13" s="54">
        <f t="shared" si="1"/>
        <v>0</v>
      </c>
    </row>
    <row r="14" ht="18.0" customHeight="1">
      <c r="A14" s="8">
        <v>13.0</v>
      </c>
      <c r="B14" s="9" t="s">
        <v>66</v>
      </c>
      <c r="C14" s="10" t="s">
        <v>48</v>
      </c>
      <c r="D14" s="33" t="s">
        <v>49</v>
      </c>
      <c r="E14" s="110" t="s">
        <v>127</v>
      </c>
      <c r="F14" s="111"/>
      <c r="G14" s="12">
        <v>2015.0</v>
      </c>
      <c r="H14" s="54">
        <f t="shared" si="1"/>
        <v>1</v>
      </c>
    </row>
    <row r="15" ht="18.0" hidden="1" customHeight="1">
      <c r="A15" s="8">
        <v>14.0</v>
      </c>
      <c r="B15" s="17" t="s">
        <v>67</v>
      </c>
      <c r="C15" s="10" t="s">
        <v>48</v>
      </c>
      <c r="D15" s="20" t="s">
        <v>51</v>
      </c>
      <c r="E15" s="110"/>
      <c r="F15" s="111"/>
      <c r="G15" s="111"/>
      <c r="H15" s="54">
        <f t="shared" si="1"/>
        <v>0</v>
      </c>
    </row>
    <row r="16" ht="18.0" hidden="1" customHeight="1">
      <c r="A16" s="8">
        <v>15.0</v>
      </c>
      <c r="B16" s="17" t="s">
        <v>68</v>
      </c>
      <c r="C16" s="10" t="s">
        <v>215</v>
      </c>
      <c r="D16" s="20" t="s">
        <v>49</v>
      </c>
      <c r="E16" s="110"/>
      <c r="F16" s="111"/>
      <c r="G16" s="111"/>
      <c r="H16" s="54">
        <f t="shared" si="1"/>
        <v>0</v>
      </c>
    </row>
    <row r="17" ht="18.0" hidden="1" customHeight="1">
      <c r="A17" s="8">
        <v>16.0</v>
      </c>
      <c r="B17" s="9" t="s">
        <v>71</v>
      </c>
      <c r="C17" s="10" t="s">
        <v>216</v>
      </c>
      <c r="D17" s="33" t="s">
        <v>49</v>
      </c>
      <c r="E17" s="110"/>
      <c r="F17" s="111"/>
      <c r="G17" s="111"/>
      <c r="H17" s="54">
        <f t="shared" si="1"/>
        <v>0</v>
      </c>
    </row>
    <row r="18" ht="18.0" customHeight="1">
      <c r="A18" s="8">
        <v>17.0</v>
      </c>
      <c r="B18" s="114" t="s">
        <v>73</v>
      </c>
      <c r="C18" s="119" t="s">
        <v>55</v>
      </c>
      <c r="D18" s="116" t="s">
        <v>49</v>
      </c>
      <c r="E18" s="117" t="s">
        <v>127</v>
      </c>
      <c r="F18" s="111"/>
      <c r="G18" s="111"/>
      <c r="H18" s="54">
        <f t="shared" si="1"/>
        <v>0</v>
      </c>
    </row>
    <row r="19" ht="18.0" hidden="1" customHeight="1">
      <c r="A19" s="8">
        <v>19.0</v>
      </c>
      <c r="B19" s="31" t="s">
        <v>74</v>
      </c>
      <c r="C19" s="10" t="s">
        <v>217</v>
      </c>
      <c r="D19" s="32" t="s">
        <v>49</v>
      </c>
      <c r="E19" s="110"/>
      <c r="F19" s="111"/>
      <c r="G19" s="111"/>
      <c r="H19" s="54">
        <f t="shared" si="1"/>
        <v>0</v>
      </c>
    </row>
    <row r="20" ht="18.0" hidden="1" customHeight="1">
      <c r="A20" s="8">
        <v>20.0</v>
      </c>
      <c r="B20" s="9" t="s">
        <v>76</v>
      </c>
      <c r="C20" s="10" t="s">
        <v>48</v>
      </c>
      <c r="D20" s="33" t="s">
        <v>49</v>
      </c>
      <c r="E20" s="113"/>
      <c r="F20" s="12">
        <v>2018.0</v>
      </c>
      <c r="G20" s="12">
        <v>2018.0</v>
      </c>
      <c r="H20" s="54">
        <f t="shared" si="1"/>
        <v>2</v>
      </c>
    </row>
    <row r="21" ht="18.0" hidden="1" customHeight="1">
      <c r="A21" s="8">
        <v>21.0</v>
      </c>
      <c r="B21" s="31" t="s">
        <v>77</v>
      </c>
      <c r="C21" s="10" t="s">
        <v>53</v>
      </c>
      <c r="D21" s="32" t="s">
        <v>49</v>
      </c>
      <c r="E21" s="110"/>
      <c r="F21" s="111" t="s">
        <v>112</v>
      </c>
      <c r="G21" s="111" t="s">
        <v>112</v>
      </c>
      <c r="H21" s="54">
        <f t="shared" si="1"/>
        <v>2</v>
      </c>
    </row>
    <row r="22" ht="18.0" customHeight="1">
      <c r="A22" s="8">
        <v>22.0</v>
      </c>
      <c r="B22" s="114" t="s">
        <v>79</v>
      </c>
      <c r="C22" s="116" t="s">
        <v>48</v>
      </c>
      <c r="D22" s="32" t="s">
        <v>49</v>
      </c>
      <c r="E22" s="120" t="s">
        <v>127</v>
      </c>
      <c r="F22" s="111"/>
      <c r="G22" s="111"/>
      <c r="H22" s="54">
        <f t="shared" si="1"/>
        <v>0</v>
      </c>
    </row>
    <row r="23" ht="18.0" customHeight="1">
      <c r="A23" s="8">
        <v>23.0</v>
      </c>
      <c r="B23" s="114" t="s">
        <v>80</v>
      </c>
      <c r="C23" s="10" t="s">
        <v>48</v>
      </c>
      <c r="D23" s="32" t="s">
        <v>49</v>
      </c>
      <c r="E23" s="120" t="s">
        <v>127</v>
      </c>
      <c r="F23" s="111"/>
      <c r="G23" s="111"/>
      <c r="H23" s="54">
        <f t="shared" si="1"/>
        <v>0</v>
      </c>
    </row>
    <row r="24" ht="18.0" hidden="1" customHeight="1">
      <c r="A24" s="8">
        <v>24.0</v>
      </c>
      <c r="B24" s="9" t="s">
        <v>81</v>
      </c>
      <c r="C24" s="10" t="s">
        <v>48</v>
      </c>
      <c r="D24" s="32" t="s">
        <v>49</v>
      </c>
      <c r="E24" s="110"/>
      <c r="F24" s="111"/>
      <c r="G24" s="111"/>
      <c r="H24" s="54">
        <f t="shared" si="1"/>
        <v>0</v>
      </c>
    </row>
    <row r="25" ht="18.0" hidden="1" customHeight="1">
      <c r="A25" s="8">
        <v>25.0</v>
      </c>
      <c r="B25" s="9" t="s">
        <v>84</v>
      </c>
      <c r="C25" s="10" t="s">
        <v>48</v>
      </c>
      <c r="D25" s="32" t="s">
        <v>49</v>
      </c>
      <c r="E25" s="118"/>
      <c r="F25" s="112" t="s">
        <v>212</v>
      </c>
      <c r="G25" s="112" t="s">
        <v>212</v>
      </c>
      <c r="H25" s="54">
        <f t="shared" si="1"/>
        <v>2</v>
      </c>
    </row>
    <row r="26" ht="18.0" hidden="1" customHeight="1">
      <c r="A26" s="8">
        <v>26.0</v>
      </c>
      <c r="B26" s="9" t="s">
        <v>86</v>
      </c>
      <c r="C26" s="10" t="s">
        <v>48</v>
      </c>
      <c r="D26" s="32" t="s">
        <v>49</v>
      </c>
      <c r="E26" s="118"/>
      <c r="F26" s="112" t="s">
        <v>212</v>
      </c>
      <c r="G26" s="112" t="s">
        <v>212</v>
      </c>
      <c r="H26" s="54">
        <f t="shared" si="1"/>
        <v>2</v>
      </c>
    </row>
    <row r="27" ht="18.0" customHeight="1">
      <c r="A27" s="8">
        <v>27.0</v>
      </c>
      <c r="B27" s="121" t="s">
        <v>87</v>
      </c>
      <c r="C27" s="10" t="s">
        <v>48</v>
      </c>
      <c r="D27" s="33" t="s">
        <v>49</v>
      </c>
      <c r="E27" s="120" t="s">
        <v>127</v>
      </c>
      <c r="F27" s="111"/>
      <c r="G27" s="111"/>
      <c r="H27" s="54">
        <f t="shared" si="1"/>
        <v>0</v>
      </c>
    </row>
    <row r="28" ht="18.0" hidden="1" customHeight="1">
      <c r="A28" s="8">
        <v>28.0</v>
      </c>
      <c r="B28" s="17" t="s">
        <v>89</v>
      </c>
      <c r="C28" s="10" t="s">
        <v>218</v>
      </c>
      <c r="D28" s="20" t="s">
        <v>49</v>
      </c>
      <c r="E28" s="110"/>
      <c r="F28" s="111"/>
      <c r="G28" s="111"/>
      <c r="H28" s="54">
        <f t="shared" si="1"/>
        <v>0</v>
      </c>
    </row>
    <row r="29" ht="18.0" hidden="1" customHeight="1">
      <c r="A29" s="8">
        <v>29.0</v>
      </c>
      <c r="B29" s="9" t="s">
        <v>90</v>
      </c>
      <c r="C29" s="10" t="s">
        <v>48</v>
      </c>
      <c r="D29" s="20" t="s">
        <v>49</v>
      </c>
      <c r="E29" s="110"/>
      <c r="F29" s="111"/>
      <c r="G29" s="111"/>
      <c r="H29" s="54">
        <f t="shared" si="1"/>
        <v>0</v>
      </c>
    </row>
    <row r="30" ht="18.0" hidden="1" customHeight="1">
      <c r="A30" s="8">
        <v>30.0</v>
      </c>
      <c r="B30" s="9" t="s">
        <v>199</v>
      </c>
      <c r="C30" s="10" t="s">
        <v>48</v>
      </c>
      <c r="D30" s="33" t="s">
        <v>49</v>
      </c>
      <c r="E30" s="110" t="s">
        <v>135</v>
      </c>
      <c r="F30" s="111"/>
      <c r="G30" s="111"/>
      <c r="H30" s="54">
        <f t="shared" si="1"/>
        <v>0</v>
      </c>
    </row>
    <row r="31" ht="18.0" hidden="1" customHeight="1">
      <c r="A31" s="8">
        <v>31.0</v>
      </c>
      <c r="B31" s="9" t="s">
        <v>200</v>
      </c>
      <c r="C31" s="10" t="s">
        <v>48</v>
      </c>
      <c r="D31" s="33" t="s">
        <v>49</v>
      </c>
      <c r="E31" s="110"/>
      <c r="F31" s="111"/>
      <c r="G31" s="111"/>
      <c r="H31" s="54">
        <f t="shared" si="1"/>
        <v>0</v>
      </c>
    </row>
    <row r="32" ht="18.0" customHeight="1">
      <c r="A32" s="8">
        <v>32.0</v>
      </c>
      <c r="B32" s="9" t="s">
        <v>91</v>
      </c>
      <c r="C32" s="10" t="s">
        <v>48</v>
      </c>
      <c r="D32" s="33" t="s">
        <v>49</v>
      </c>
      <c r="E32" s="120" t="s">
        <v>127</v>
      </c>
      <c r="F32" s="111"/>
      <c r="G32" s="111"/>
      <c r="H32" s="54">
        <f t="shared" si="1"/>
        <v>0</v>
      </c>
    </row>
    <row r="33" ht="18.0" hidden="1" customHeight="1">
      <c r="A33" s="8">
        <v>33.0</v>
      </c>
      <c r="B33" s="9" t="s">
        <v>92</v>
      </c>
      <c r="C33" s="10" t="s">
        <v>48</v>
      </c>
      <c r="D33" s="20" t="s">
        <v>51</v>
      </c>
      <c r="E33" s="110" t="s">
        <v>135</v>
      </c>
      <c r="F33" s="111"/>
      <c r="G33" s="12">
        <v>2015.0</v>
      </c>
      <c r="H33" s="54">
        <f t="shared" si="1"/>
        <v>1</v>
      </c>
    </row>
    <row r="34" ht="18.0" customHeight="1">
      <c r="A34" s="8">
        <v>34.0</v>
      </c>
      <c r="B34" s="9" t="s">
        <v>93</v>
      </c>
      <c r="C34" s="10" t="s">
        <v>48</v>
      </c>
      <c r="D34" s="33" t="s">
        <v>49</v>
      </c>
      <c r="E34" s="120" t="s">
        <v>127</v>
      </c>
      <c r="F34" s="111"/>
      <c r="G34" s="12">
        <v>2019.0</v>
      </c>
      <c r="H34" s="54">
        <f t="shared" si="1"/>
        <v>1</v>
      </c>
    </row>
    <row r="35" ht="18.0" hidden="1" customHeight="1">
      <c r="A35" s="8">
        <v>35.0</v>
      </c>
      <c r="B35" s="31" t="s">
        <v>94</v>
      </c>
      <c r="C35" s="10" t="s">
        <v>216</v>
      </c>
      <c r="D35" s="32" t="s">
        <v>49</v>
      </c>
      <c r="E35" s="110"/>
      <c r="F35" s="111"/>
      <c r="G35" s="111"/>
      <c r="H35" s="54">
        <f t="shared" si="1"/>
        <v>0</v>
      </c>
    </row>
    <row r="36" ht="18.0" hidden="1" customHeight="1">
      <c r="A36" s="8">
        <v>36.0</v>
      </c>
      <c r="B36" s="9" t="s">
        <v>96</v>
      </c>
      <c r="C36" s="10" t="s">
        <v>48</v>
      </c>
      <c r="D36" s="33" t="s">
        <v>49</v>
      </c>
      <c r="E36" s="110" t="s">
        <v>135</v>
      </c>
      <c r="F36" s="111"/>
      <c r="G36" s="111"/>
      <c r="H36" s="54">
        <f t="shared" si="1"/>
        <v>0</v>
      </c>
    </row>
    <row r="37" ht="18.0" customHeight="1">
      <c r="A37" s="8">
        <v>37.0</v>
      </c>
      <c r="B37" s="17" t="s">
        <v>97</v>
      </c>
      <c r="C37" s="10" t="s">
        <v>48</v>
      </c>
      <c r="D37" s="20" t="s">
        <v>51</v>
      </c>
      <c r="E37" s="120" t="s">
        <v>127</v>
      </c>
      <c r="F37" s="111"/>
      <c r="G37" s="111"/>
      <c r="H37" s="54">
        <f t="shared" si="1"/>
        <v>0</v>
      </c>
    </row>
    <row r="38" ht="18.0" hidden="1" customHeight="1">
      <c r="A38" s="8">
        <v>38.0</v>
      </c>
      <c r="B38" s="9" t="s">
        <v>99</v>
      </c>
      <c r="C38" s="10" t="s">
        <v>53</v>
      </c>
      <c r="D38" s="33" t="s">
        <v>49</v>
      </c>
      <c r="E38" s="113"/>
      <c r="F38" s="12">
        <v>2017.0</v>
      </c>
      <c r="G38" s="111">
        <v>2013.0</v>
      </c>
      <c r="H38" s="54">
        <f t="shared" si="1"/>
        <v>2</v>
      </c>
    </row>
    <row r="39" ht="18.0" hidden="1" customHeight="1">
      <c r="A39" s="8">
        <v>39.0</v>
      </c>
      <c r="B39" s="17" t="s">
        <v>100</v>
      </c>
      <c r="C39" s="10" t="s">
        <v>218</v>
      </c>
      <c r="D39" s="20" t="s">
        <v>51</v>
      </c>
      <c r="E39" s="110"/>
      <c r="F39" s="111"/>
      <c r="G39" s="12">
        <v>2018.0</v>
      </c>
      <c r="H39" s="54">
        <f t="shared" si="1"/>
        <v>1</v>
      </c>
    </row>
    <row r="40" ht="18.0" customHeight="1">
      <c r="A40" s="8">
        <v>40.0</v>
      </c>
      <c r="B40" s="9" t="s">
        <v>203</v>
      </c>
      <c r="C40" s="10" t="s">
        <v>48</v>
      </c>
      <c r="D40" s="33" t="s">
        <v>49</v>
      </c>
      <c r="E40" s="120" t="s">
        <v>127</v>
      </c>
      <c r="F40" s="111"/>
      <c r="G40" s="111"/>
      <c r="H40" s="54">
        <f t="shared" si="1"/>
        <v>0</v>
      </c>
    </row>
    <row r="41" ht="18.0" customHeight="1">
      <c r="A41" s="8">
        <v>41.0</v>
      </c>
      <c r="B41" s="121" t="s">
        <v>102</v>
      </c>
      <c r="C41" s="10" t="s">
        <v>48</v>
      </c>
      <c r="D41" s="33" t="s">
        <v>49</v>
      </c>
      <c r="E41" s="122" t="s">
        <v>127</v>
      </c>
      <c r="F41" s="12">
        <v>2018.0</v>
      </c>
      <c r="G41" s="12"/>
      <c r="H41" s="54">
        <f t="shared" si="1"/>
        <v>1</v>
      </c>
    </row>
    <row r="42" ht="18.0" hidden="1" customHeight="1">
      <c r="A42" s="8">
        <v>42.0</v>
      </c>
      <c r="B42" s="9" t="s">
        <v>204</v>
      </c>
      <c r="C42" s="10" t="s">
        <v>48</v>
      </c>
      <c r="D42" s="33" t="s">
        <v>49</v>
      </c>
      <c r="E42" s="110"/>
      <c r="F42" s="111"/>
      <c r="G42" s="111"/>
      <c r="H42" s="54">
        <f t="shared" si="1"/>
        <v>0</v>
      </c>
    </row>
    <row r="43" ht="18.0" customHeight="1">
      <c r="A43" s="8">
        <v>43.0</v>
      </c>
      <c r="B43" s="114" t="s">
        <v>103</v>
      </c>
      <c r="C43" s="116" t="s">
        <v>48</v>
      </c>
      <c r="D43" s="117" t="s">
        <v>49</v>
      </c>
      <c r="E43" s="120" t="s">
        <v>127</v>
      </c>
      <c r="F43" s="111"/>
      <c r="G43" s="12">
        <v>2019.0</v>
      </c>
      <c r="H43" s="54">
        <f t="shared" si="1"/>
        <v>1</v>
      </c>
    </row>
    <row r="44" ht="18.0" hidden="1" customHeight="1">
      <c r="A44" s="8">
        <v>44.0</v>
      </c>
      <c r="B44" s="31" t="s">
        <v>205</v>
      </c>
      <c r="C44" s="10" t="s">
        <v>219</v>
      </c>
      <c r="D44" s="32" t="s">
        <v>49</v>
      </c>
      <c r="E44" s="110"/>
      <c r="F44" s="111"/>
      <c r="G44" s="111"/>
      <c r="H44" s="54">
        <f t="shared" si="1"/>
        <v>0</v>
      </c>
    </row>
    <row r="45" ht="18.0" hidden="1" customHeight="1">
      <c r="A45" s="8">
        <v>45.0</v>
      </c>
      <c r="B45" s="17" t="s">
        <v>104</v>
      </c>
      <c r="C45" s="10" t="s">
        <v>48</v>
      </c>
      <c r="D45" s="32" t="s">
        <v>51</v>
      </c>
      <c r="E45" s="110" t="s">
        <v>135</v>
      </c>
      <c r="F45" s="111"/>
      <c r="G45" s="111"/>
      <c r="H45" s="54">
        <f t="shared" si="1"/>
        <v>0</v>
      </c>
    </row>
    <row r="46" ht="18.0" hidden="1" customHeight="1">
      <c r="A46" s="8">
        <v>46.0</v>
      </c>
      <c r="B46" s="17" t="s">
        <v>105</v>
      </c>
      <c r="C46" s="10" t="s">
        <v>48</v>
      </c>
      <c r="D46" s="20" t="s">
        <v>49</v>
      </c>
      <c r="E46" s="110"/>
      <c r="F46" s="111"/>
      <c r="G46" s="12">
        <v>2018.0</v>
      </c>
      <c r="H46" s="54">
        <f t="shared" si="1"/>
        <v>1</v>
      </c>
    </row>
    <row r="47" ht="18.0" hidden="1" customHeight="1">
      <c r="A47" s="8">
        <v>47.0</v>
      </c>
      <c r="B47" s="9" t="s">
        <v>106</v>
      </c>
      <c r="C47" s="10" t="s">
        <v>48</v>
      </c>
      <c r="D47" s="33" t="s">
        <v>49</v>
      </c>
      <c r="E47" s="113"/>
      <c r="F47" s="12">
        <v>2018.0</v>
      </c>
      <c r="G47" s="12">
        <v>2019.0</v>
      </c>
      <c r="H47" s="54">
        <f t="shared" si="1"/>
        <v>2</v>
      </c>
    </row>
    <row r="48" ht="18.0" customHeight="1">
      <c r="A48" s="8">
        <v>48.0</v>
      </c>
      <c r="B48" s="9" t="s">
        <v>220</v>
      </c>
      <c r="C48" s="10" t="s">
        <v>48</v>
      </c>
      <c r="D48" s="33" t="s">
        <v>49</v>
      </c>
      <c r="E48" s="120" t="s">
        <v>127</v>
      </c>
      <c r="F48" s="111"/>
      <c r="G48" s="111"/>
      <c r="H48" s="54">
        <f t="shared" si="1"/>
        <v>0</v>
      </c>
    </row>
    <row r="49" ht="18.0" hidden="1" customHeight="1">
      <c r="A49" s="8">
        <v>49.0</v>
      </c>
      <c r="B49" s="9" t="s">
        <v>221</v>
      </c>
      <c r="C49" s="10" t="s">
        <v>48</v>
      </c>
      <c r="D49" s="33" t="s">
        <v>49</v>
      </c>
      <c r="E49" s="110" t="s">
        <v>135</v>
      </c>
      <c r="F49" s="111"/>
      <c r="G49" s="111"/>
      <c r="H49" s="54">
        <f t="shared" si="1"/>
        <v>0</v>
      </c>
    </row>
    <row r="50" ht="18.0" customHeight="1">
      <c r="A50" s="8">
        <v>50.0</v>
      </c>
      <c r="B50" s="121" t="s">
        <v>107</v>
      </c>
      <c r="C50" s="10" t="s">
        <v>48</v>
      </c>
      <c r="D50" s="33" t="s">
        <v>49</v>
      </c>
      <c r="E50" s="120" t="s">
        <v>127</v>
      </c>
      <c r="F50" s="111"/>
      <c r="G50" s="111"/>
      <c r="H50" s="54">
        <f t="shared" si="1"/>
        <v>0</v>
      </c>
    </row>
    <row r="51" ht="18.0" hidden="1" customHeight="1">
      <c r="A51" s="8">
        <v>51.0</v>
      </c>
      <c r="B51" s="17" t="s">
        <v>108</v>
      </c>
      <c r="C51" s="10" t="s">
        <v>55</v>
      </c>
      <c r="D51" s="20" t="s">
        <v>49</v>
      </c>
      <c r="E51" s="110"/>
      <c r="F51" s="111"/>
      <c r="G51" s="111"/>
      <c r="H51" s="54">
        <f t="shared" si="1"/>
        <v>0</v>
      </c>
    </row>
    <row r="52" ht="18.0" customHeight="1">
      <c r="A52" s="8">
        <v>53.0</v>
      </c>
      <c r="B52" s="114" t="s">
        <v>110</v>
      </c>
      <c r="C52" s="10" t="s">
        <v>48</v>
      </c>
      <c r="D52" s="33" t="s">
        <v>51</v>
      </c>
      <c r="E52" s="120" t="s">
        <v>127</v>
      </c>
      <c r="F52" s="111"/>
      <c r="G52" s="111"/>
      <c r="H52" s="54">
        <f t="shared" si="1"/>
        <v>0</v>
      </c>
    </row>
    <row r="53" ht="18.0" hidden="1" customHeight="1">
      <c r="A53" s="8">
        <v>54.0</v>
      </c>
      <c r="B53" s="17" t="s">
        <v>111</v>
      </c>
      <c r="C53" s="10" t="s">
        <v>218</v>
      </c>
      <c r="D53" s="33" t="s">
        <v>49</v>
      </c>
      <c r="E53" s="110"/>
      <c r="F53" s="111" t="s">
        <v>112</v>
      </c>
      <c r="G53" s="111" t="s">
        <v>112</v>
      </c>
      <c r="H53" s="54">
        <f t="shared" si="1"/>
        <v>2</v>
      </c>
    </row>
    <row r="54" ht="18.0" customHeight="1">
      <c r="A54" s="8">
        <v>55.0</v>
      </c>
      <c r="B54" s="121" t="s">
        <v>114</v>
      </c>
      <c r="C54" s="10" t="s">
        <v>48</v>
      </c>
      <c r="D54" s="20" t="s">
        <v>51</v>
      </c>
      <c r="E54" s="120" t="s">
        <v>127</v>
      </c>
      <c r="F54" s="111"/>
      <c r="G54" s="111"/>
      <c r="H54" s="54">
        <f t="shared" si="1"/>
        <v>0</v>
      </c>
    </row>
    <row r="55" ht="18.0" hidden="1" customHeight="1">
      <c r="A55" s="8">
        <v>56.0</v>
      </c>
      <c r="B55" s="17" t="s">
        <v>115</v>
      </c>
      <c r="C55" s="10" t="s">
        <v>218</v>
      </c>
      <c r="D55" s="33" t="s">
        <v>49</v>
      </c>
      <c r="E55" s="110"/>
      <c r="F55" s="111"/>
      <c r="G55" s="111">
        <v>2013.0</v>
      </c>
      <c r="H55" s="54">
        <f t="shared" si="1"/>
        <v>1</v>
      </c>
    </row>
    <row r="56" ht="18.0" hidden="1" customHeight="1">
      <c r="A56" s="8">
        <v>57.0</v>
      </c>
      <c r="B56" s="9" t="s">
        <v>208</v>
      </c>
      <c r="C56" s="10" t="s">
        <v>48</v>
      </c>
      <c r="D56" s="33" t="s">
        <v>49</v>
      </c>
      <c r="E56" s="110"/>
      <c r="F56" s="111"/>
      <c r="G56" s="111"/>
      <c r="H56" s="54">
        <f t="shared" si="1"/>
        <v>0</v>
      </c>
    </row>
    <row r="57" ht="18.0" hidden="1" customHeight="1">
      <c r="A57" s="8">
        <v>58.0</v>
      </c>
      <c r="B57" s="9" t="s">
        <v>116</v>
      </c>
      <c r="C57" s="10" t="s">
        <v>48</v>
      </c>
      <c r="D57" s="33" t="s">
        <v>49</v>
      </c>
      <c r="E57" s="113"/>
      <c r="F57" s="112" t="s">
        <v>212</v>
      </c>
      <c r="G57" s="112" t="s">
        <v>212</v>
      </c>
      <c r="H57" s="54">
        <f t="shared" si="1"/>
        <v>2</v>
      </c>
    </row>
    <row r="58" ht="18.0" hidden="1" customHeight="1">
      <c r="A58" s="8">
        <v>59.0</v>
      </c>
      <c r="B58" s="17" t="s">
        <v>222</v>
      </c>
      <c r="C58" s="10" t="s">
        <v>48</v>
      </c>
      <c r="D58" s="20" t="s">
        <v>51</v>
      </c>
      <c r="E58" s="113" t="s">
        <v>135</v>
      </c>
      <c r="F58" s="12">
        <v>2018.0</v>
      </c>
      <c r="G58" s="111"/>
      <c r="H58" s="54">
        <f t="shared" si="1"/>
        <v>1</v>
      </c>
    </row>
    <row r="59" ht="18.0" customHeight="1">
      <c r="A59" s="8">
        <v>60.0</v>
      </c>
      <c r="B59" s="121" t="s">
        <v>119</v>
      </c>
      <c r="C59" s="10" t="s">
        <v>48</v>
      </c>
      <c r="D59" s="20" t="s">
        <v>51</v>
      </c>
      <c r="E59" s="120" t="s">
        <v>127</v>
      </c>
      <c r="F59" s="111"/>
      <c r="G59" s="111"/>
      <c r="H59" s="54">
        <f t="shared" si="1"/>
        <v>0</v>
      </c>
    </row>
    <row r="60" ht="18.0" customHeight="1">
      <c r="A60" s="8">
        <v>61.0</v>
      </c>
      <c r="B60" s="121" t="s">
        <v>120</v>
      </c>
      <c r="C60" s="10" t="s">
        <v>48</v>
      </c>
      <c r="D60" s="33" t="s">
        <v>49</v>
      </c>
      <c r="E60" s="122" t="s">
        <v>127</v>
      </c>
      <c r="F60" s="12">
        <v>2018.0</v>
      </c>
      <c r="G60" s="111"/>
      <c r="H60" s="54">
        <f t="shared" si="1"/>
        <v>1</v>
      </c>
    </row>
    <row r="61" ht="18.0" customHeight="1">
      <c r="A61" s="8">
        <v>62.0</v>
      </c>
      <c r="B61" s="114" t="s">
        <v>121</v>
      </c>
      <c r="C61" s="10" t="s">
        <v>48</v>
      </c>
      <c r="D61" s="33" t="s">
        <v>49</v>
      </c>
      <c r="E61" s="120" t="s">
        <v>127</v>
      </c>
      <c r="F61" s="111"/>
      <c r="G61" s="12">
        <v>2018.0</v>
      </c>
      <c r="H61" s="54">
        <f t="shared" si="1"/>
        <v>1</v>
      </c>
    </row>
    <row r="62" ht="18.0" hidden="1" customHeight="1">
      <c r="A62" s="8">
        <v>63.0</v>
      </c>
      <c r="B62" s="17" t="s">
        <v>122</v>
      </c>
      <c r="C62" s="10" t="s">
        <v>218</v>
      </c>
      <c r="D62" s="20" t="s">
        <v>49</v>
      </c>
      <c r="E62" s="113"/>
      <c r="F62" s="12">
        <v>2017.0</v>
      </c>
      <c r="G62" s="12">
        <v>2012.0</v>
      </c>
      <c r="H62" s="54">
        <f t="shared" si="1"/>
        <v>2</v>
      </c>
    </row>
    <row r="63" ht="18.0" hidden="1" customHeight="1">
      <c r="A63" s="8">
        <v>64.0</v>
      </c>
      <c r="B63" s="31" t="s">
        <v>124</v>
      </c>
      <c r="C63" s="10" t="s">
        <v>218</v>
      </c>
      <c r="D63" s="32" t="s">
        <v>49</v>
      </c>
      <c r="E63" s="110"/>
      <c r="F63" s="111" t="s">
        <v>112</v>
      </c>
      <c r="G63" s="111" t="s">
        <v>112</v>
      </c>
      <c r="H63" s="54">
        <f t="shared" si="1"/>
        <v>2</v>
      </c>
    </row>
    <row r="64" ht="18.0" hidden="1" customHeight="1">
      <c r="A64" s="8">
        <v>65.0</v>
      </c>
      <c r="B64" s="31" t="s">
        <v>125</v>
      </c>
      <c r="C64" s="10" t="s">
        <v>95</v>
      </c>
      <c r="D64" s="32" t="s">
        <v>49</v>
      </c>
      <c r="E64" s="110"/>
      <c r="F64" s="111"/>
      <c r="G64" s="111"/>
      <c r="H64" s="54">
        <f t="shared" si="1"/>
        <v>0</v>
      </c>
    </row>
    <row r="65" ht="18.0" hidden="1" customHeight="1">
      <c r="A65" s="8">
        <v>66.0</v>
      </c>
      <c r="B65" s="9" t="s">
        <v>128</v>
      </c>
      <c r="C65" s="10" t="s">
        <v>55</v>
      </c>
      <c r="D65" s="33" t="s">
        <v>49</v>
      </c>
      <c r="E65" s="113"/>
      <c r="F65" s="12">
        <v>2018.0</v>
      </c>
      <c r="G65" s="12">
        <v>2015.0</v>
      </c>
      <c r="H65" s="54">
        <f t="shared" si="1"/>
        <v>2</v>
      </c>
    </row>
    <row r="66" ht="18.0" hidden="1" customHeight="1">
      <c r="A66" s="8">
        <v>67.0</v>
      </c>
      <c r="B66" s="9" t="s">
        <v>223</v>
      </c>
      <c r="C66" s="10" t="s">
        <v>48</v>
      </c>
      <c r="D66" s="33" t="s">
        <v>49</v>
      </c>
      <c r="E66" s="110"/>
      <c r="F66" s="111"/>
      <c r="G66" s="111"/>
      <c r="H66" s="54">
        <f t="shared" si="1"/>
        <v>0</v>
      </c>
    </row>
    <row r="67" ht="18.0" hidden="1" customHeight="1">
      <c r="A67" s="8">
        <v>68.0</v>
      </c>
      <c r="B67" s="17" t="s">
        <v>129</v>
      </c>
      <c r="C67" s="10" t="s">
        <v>55</v>
      </c>
      <c r="D67" s="33" t="s">
        <v>49</v>
      </c>
      <c r="E67" s="113"/>
      <c r="F67" s="12">
        <v>2015.0</v>
      </c>
      <c r="G67" s="12">
        <v>2015.0</v>
      </c>
      <c r="H67" s="54">
        <f t="shared" si="1"/>
        <v>2</v>
      </c>
    </row>
    <row r="68" ht="18.0" customHeight="1">
      <c r="A68" s="8">
        <v>69.0</v>
      </c>
      <c r="B68" s="121" t="s">
        <v>130</v>
      </c>
      <c r="C68" s="10" t="s">
        <v>48</v>
      </c>
      <c r="D68" s="33" t="s">
        <v>49</v>
      </c>
      <c r="E68" s="120" t="s">
        <v>127</v>
      </c>
      <c r="F68" s="111"/>
      <c r="G68" s="111"/>
      <c r="H68" s="54">
        <f t="shared" si="1"/>
        <v>0</v>
      </c>
    </row>
    <row r="69" ht="18.0" customHeight="1">
      <c r="A69" s="8">
        <v>70.0</v>
      </c>
      <c r="B69" s="123" t="s">
        <v>131</v>
      </c>
      <c r="C69" s="119" t="s">
        <v>224</v>
      </c>
      <c r="D69" s="124" t="s">
        <v>49</v>
      </c>
      <c r="E69" s="120" t="s">
        <v>127</v>
      </c>
      <c r="F69" s="111"/>
      <c r="G69" s="111"/>
      <c r="H69" s="54">
        <f t="shared" si="1"/>
        <v>0</v>
      </c>
    </row>
    <row r="70" ht="18.0" hidden="1" customHeight="1">
      <c r="A70" s="8">
        <v>71.0</v>
      </c>
      <c r="B70" s="9" t="s">
        <v>210</v>
      </c>
      <c r="C70" s="10" t="s">
        <v>48</v>
      </c>
      <c r="D70" s="33" t="s">
        <v>49</v>
      </c>
      <c r="E70" s="110"/>
      <c r="F70" s="111"/>
      <c r="G70" s="111"/>
      <c r="H70" s="54">
        <f t="shared" si="1"/>
        <v>0</v>
      </c>
    </row>
    <row r="71" ht="18.0" hidden="1" customHeight="1">
      <c r="A71" s="8">
        <v>72.0</v>
      </c>
      <c r="B71" s="9" t="s">
        <v>133</v>
      </c>
      <c r="C71" s="10" t="s">
        <v>218</v>
      </c>
      <c r="D71" s="33" t="s">
        <v>49</v>
      </c>
      <c r="E71" s="113"/>
      <c r="F71" s="12">
        <v>2017.0</v>
      </c>
      <c r="G71" s="12">
        <v>2019.0</v>
      </c>
      <c r="H71" s="54">
        <f t="shared" si="1"/>
        <v>2</v>
      </c>
    </row>
    <row r="72" ht="18.0" hidden="1" customHeight="1">
      <c r="A72" s="8">
        <v>73.0</v>
      </c>
      <c r="B72" s="41" t="s">
        <v>134</v>
      </c>
      <c r="C72" s="10" t="s">
        <v>48</v>
      </c>
      <c r="D72" s="33" t="s">
        <v>49</v>
      </c>
      <c r="E72" s="113"/>
      <c r="F72" s="112" t="s">
        <v>212</v>
      </c>
      <c r="G72" s="112" t="s">
        <v>212</v>
      </c>
      <c r="H72" s="54">
        <f t="shared" si="1"/>
        <v>2</v>
      </c>
    </row>
    <row r="73" ht="18.0" customHeight="1">
      <c r="A73" s="8">
        <v>74.0</v>
      </c>
      <c r="B73" s="121" t="s">
        <v>225</v>
      </c>
      <c r="C73" s="10" t="s">
        <v>48</v>
      </c>
      <c r="D73" s="33" t="s">
        <v>49</v>
      </c>
      <c r="E73" s="120" t="s">
        <v>127</v>
      </c>
      <c r="F73" s="111"/>
      <c r="G73" s="111"/>
      <c r="H73" s="54">
        <f t="shared" si="1"/>
        <v>0</v>
      </c>
    </row>
    <row r="74" ht="18.0" hidden="1" customHeight="1">
      <c r="C74" s="55" t="s">
        <v>127</v>
      </c>
      <c r="D74" s="56"/>
      <c r="E74" s="125">
        <f>COUNTIF(E2:E73,"x")</f>
        <v>0</v>
      </c>
      <c r="F74" s="16">
        <f t="shared" ref="F74:G74" si="2">COUNTA(F2:F73)</f>
        <v>21</v>
      </c>
      <c r="G74" s="16">
        <f t="shared" si="2"/>
        <v>26</v>
      </c>
    </row>
    <row r="75" ht="18.0" hidden="1" customHeight="1">
      <c r="C75" s="55" t="s">
        <v>135</v>
      </c>
      <c r="D75" s="56"/>
      <c r="E75" s="16">
        <f t="shared" ref="E75:G75" si="3">COUNTBLANK(E2:E73)</f>
        <v>43</v>
      </c>
      <c r="F75" s="16">
        <f t="shared" si="3"/>
        <v>51</v>
      </c>
      <c r="G75" s="16">
        <f t="shared" si="3"/>
        <v>46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75">
    <filterColumn colId="4">
      <filters>
        <filter val="SI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30.29"/>
    <col customWidth="1" min="3" max="3" width="10.57"/>
    <col customWidth="1" min="4" max="4" width="3.14"/>
    <col customWidth="1" min="5" max="5" width="2.57"/>
    <col customWidth="1" min="6" max="6" width="18.57"/>
    <col customWidth="1" min="7" max="7" width="10.0"/>
    <col customWidth="1" min="8" max="8" width="8.0"/>
    <col customWidth="1" min="9" max="9" width="9.71"/>
    <col customWidth="1" min="10" max="10" width="7.0"/>
    <col customWidth="1" min="11" max="11" width="54.43"/>
    <col customWidth="1" min="12" max="12" width="14.14"/>
    <col customWidth="1" min="13" max="13" width="18.14"/>
    <col customWidth="1" min="14" max="14" width="26.0"/>
    <col customWidth="1" min="15" max="15" width="5.14"/>
    <col customWidth="1" min="16" max="16" width="10.71"/>
    <col customWidth="1" min="17" max="17" width="22.71"/>
    <col customWidth="1" min="18" max="18" width="10.43"/>
    <col customWidth="1" min="19" max="19" width="11.0"/>
    <col customWidth="1" min="20" max="20" width="17.29"/>
    <col customWidth="1" min="21" max="21" width="13.71"/>
    <col customWidth="1" min="22" max="22" width="11.57"/>
    <col customWidth="1" min="23" max="23" width="12.14"/>
    <col customWidth="1" min="24" max="24" width="12.71"/>
    <col customWidth="1" min="25" max="25" width="14.71"/>
    <col customWidth="1" min="26" max="26" width="5.86"/>
    <col customWidth="1" min="27" max="27" width="6.43"/>
    <col customWidth="1" min="28" max="28" width="13.0"/>
    <col customWidth="1" min="29" max="29" width="12.86"/>
    <col customWidth="1" min="30" max="30" width="12.71"/>
    <col customWidth="1" min="31" max="31" width="5.14"/>
    <col customWidth="1" min="32" max="32" width="6.29"/>
    <col customWidth="1" min="33" max="33" width="7.14"/>
    <col customWidth="1" min="34" max="34" width="9.43"/>
    <col customWidth="1" min="35" max="35" width="6.14"/>
    <col customWidth="1" min="36" max="36" width="5.14"/>
    <col customWidth="1" min="37" max="37" width="11.86"/>
    <col customWidth="1" min="38" max="38" width="10.43"/>
    <col customWidth="1" min="39" max="39" width="6.71"/>
    <col customWidth="1" min="40" max="40" width="8.0"/>
    <col customWidth="1" min="41" max="41" width="12.43"/>
    <col customWidth="1" min="42" max="42" width="15.0"/>
    <col customWidth="1" min="43" max="43" width="2.86"/>
    <col customWidth="1" min="44" max="44" width="10.0"/>
  </cols>
  <sheetData>
    <row r="1" ht="47.25" customHeight="1">
      <c r="A1" s="106"/>
      <c r="B1" s="107" t="s">
        <v>0</v>
      </c>
      <c r="C1" s="108"/>
      <c r="D1" s="108"/>
      <c r="E1" s="109">
        <f>COUNTIF(E5:E78,"x")</f>
        <v>0</v>
      </c>
      <c r="F1" s="126" t="s">
        <v>1</v>
      </c>
      <c r="G1" s="109" t="s">
        <v>2</v>
      </c>
      <c r="H1" s="109" t="s">
        <v>4</v>
      </c>
      <c r="I1" s="109" t="s">
        <v>6</v>
      </c>
      <c r="J1" s="109" t="s">
        <v>7</v>
      </c>
      <c r="K1" s="109" t="s">
        <v>10</v>
      </c>
      <c r="L1" s="109" t="s">
        <v>11</v>
      </c>
      <c r="M1" s="109" t="s">
        <v>12</v>
      </c>
      <c r="N1" s="109" t="s">
        <v>13</v>
      </c>
      <c r="O1" s="5" t="s">
        <v>226</v>
      </c>
      <c r="P1" s="5" t="s">
        <v>15</v>
      </c>
      <c r="Q1" s="109" t="s">
        <v>17</v>
      </c>
      <c r="R1" s="109" t="s">
        <v>18</v>
      </c>
      <c r="S1" s="109" t="s">
        <v>19</v>
      </c>
      <c r="T1" s="109" t="s">
        <v>20</v>
      </c>
      <c r="U1" s="109" t="s">
        <v>22</v>
      </c>
      <c r="V1" s="109" t="s">
        <v>24</v>
      </c>
      <c r="W1" s="109" t="s">
        <v>25</v>
      </c>
      <c r="X1" s="109" t="s">
        <v>26</v>
      </c>
      <c r="Y1" s="109" t="s">
        <v>27</v>
      </c>
      <c r="Z1" s="109" t="s">
        <v>28</v>
      </c>
      <c r="AA1" s="109" t="s">
        <v>29</v>
      </c>
      <c r="AB1" s="109" t="s">
        <v>30</v>
      </c>
      <c r="AC1" s="109" t="s">
        <v>32</v>
      </c>
      <c r="AD1" s="109" t="s">
        <v>33</v>
      </c>
      <c r="AE1" s="109" t="s">
        <v>143</v>
      </c>
      <c r="AF1" s="109" t="s">
        <v>156</v>
      </c>
      <c r="AG1" s="109" t="s">
        <v>36</v>
      </c>
      <c r="AH1" s="109" t="s">
        <v>155</v>
      </c>
      <c r="AI1" s="109" t="s">
        <v>38</v>
      </c>
      <c r="AJ1" s="109" t="s">
        <v>39</v>
      </c>
      <c r="AK1" s="109" t="s">
        <v>40</v>
      </c>
      <c r="AL1" s="109" t="s">
        <v>41</v>
      </c>
      <c r="AM1" s="109" t="s">
        <v>227</v>
      </c>
      <c r="AN1" s="109" t="s">
        <v>43</v>
      </c>
      <c r="AO1" s="109" t="s">
        <v>45</v>
      </c>
      <c r="AP1" s="109" t="s">
        <v>46</v>
      </c>
    </row>
    <row r="2" ht="18.0" customHeight="1">
      <c r="A2" s="127">
        <v>1.0</v>
      </c>
      <c r="B2" s="9" t="s">
        <v>213</v>
      </c>
      <c r="C2" s="53" t="s">
        <v>48</v>
      </c>
      <c r="D2" s="11" t="s">
        <v>49</v>
      </c>
      <c r="E2" s="110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25">
        <f t="shared" ref="AQ2:AQ7" si="1">COUNTA(F2:AP2)</f>
        <v>0</v>
      </c>
      <c r="AR2" s="128"/>
    </row>
    <row r="3" ht="18.0" customHeight="1">
      <c r="A3" s="127">
        <v>2.0</v>
      </c>
      <c r="B3" s="9" t="s">
        <v>204</v>
      </c>
      <c r="C3" s="53" t="s">
        <v>48</v>
      </c>
      <c r="D3" s="33" t="s">
        <v>49</v>
      </c>
      <c r="E3" s="110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>
        <v>2015.0</v>
      </c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25">
        <f t="shared" si="1"/>
        <v>1</v>
      </c>
      <c r="AR3" s="128"/>
    </row>
    <row r="4" ht="45.0" customHeight="1">
      <c r="A4" s="127">
        <v>3.0</v>
      </c>
      <c r="B4" s="41" t="s">
        <v>205</v>
      </c>
      <c r="C4" s="53" t="s">
        <v>75</v>
      </c>
      <c r="D4" s="129" t="s">
        <v>49</v>
      </c>
      <c r="E4" s="110"/>
      <c r="F4" s="13"/>
      <c r="G4" s="13">
        <v>2016.0</v>
      </c>
      <c r="H4" s="13"/>
      <c r="I4" s="13"/>
      <c r="J4" s="13"/>
      <c r="K4" s="13"/>
      <c r="L4" s="13">
        <v>2020.0</v>
      </c>
      <c r="M4" s="13"/>
      <c r="N4" s="13"/>
      <c r="O4" s="13"/>
      <c r="P4" s="13">
        <v>2020.0</v>
      </c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 t="s">
        <v>112</v>
      </c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 t="s">
        <v>112</v>
      </c>
      <c r="AN4" s="13"/>
      <c r="AO4" s="13"/>
      <c r="AP4" s="13"/>
      <c r="AQ4" s="125">
        <f t="shared" si="1"/>
        <v>5</v>
      </c>
      <c r="AR4" s="128"/>
    </row>
    <row r="5" ht="18.0" customHeight="1">
      <c r="A5" s="127">
        <v>4.0</v>
      </c>
      <c r="B5" s="9" t="s">
        <v>207</v>
      </c>
      <c r="C5" s="53" t="s">
        <v>48</v>
      </c>
      <c r="D5" s="33" t="s">
        <v>49</v>
      </c>
      <c r="E5" s="110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>
        <v>2015.0</v>
      </c>
      <c r="AF5" s="13">
        <v>2015.0</v>
      </c>
      <c r="AG5" s="13">
        <v>2019.0</v>
      </c>
      <c r="AH5" s="13"/>
      <c r="AI5" s="13"/>
      <c r="AJ5" s="13"/>
      <c r="AK5" s="13">
        <v>2015.0</v>
      </c>
      <c r="AL5" s="13"/>
      <c r="AM5" s="13">
        <v>2019.0</v>
      </c>
      <c r="AN5" s="13">
        <v>2019.0</v>
      </c>
      <c r="AO5" s="13"/>
      <c r="AP5" s="13"/>
      <c r="AQ5" s="125">
        <f t="shared" si="1"/>
        <v>6</v>
      </c>
      <c r="AR5" s="128"/>
    </row>
    <row r="6" ht="18.0" customHeight="1">
      <c r="A6" s="127">
        <v>5.0</v>
      </c>
      <c r="B6" s="9" t="s">
        <v>222</v>
      </c>
      <c r="C6" s="53" t="s">
        <v>48</v>
      </c>
      <c r="D6" s="33" t="s">
        <v>51</v>
      </c>
      <c r="E6" s="110"/>
      <c r="F6" s="13"/>
      <c r="G6" s="13"/>
      <c r="H6" s="13"/>
      <c r="I6" s="13">
        <v>2018.0</v>
      </c>
      <c r="J6" s="13"/>
      <c r="K6" s="13"/>
      <c r="L6" s="13"/>
      <c r="M6" s="13"/>
      <c r="N6" s="13"/>
      <c r="O6" s="13"/>
      <c r="P6" s="13"/>
      <c r="Q6" s="13"/>
      <c r="R6" s="13">
        <v>2018.0</v>
      </c>
      <c r="S6" s="13"/>
      <c r="T6" s="13"/>
      <c r="U6" s="13">
        <v>2018.0</v>
      </c>
      <c r="V6" s="13"/>
      <c r="W6" s="13"/>
      <c r="X6" s="13"/>
      <c r="Y6" s="13"/>
      <c r="Z6" s="13">
        <v>2019.0</v>
      </c>
      <c r="AA6" s="13"/>
      <c r="AB6" s="13"/>
      <c r="AC6" s="13"/>
      <c r="AD6" s="13"/>
      <c r="AE6" s="13">
        <v>2015.0</v>
      </c>
      <c r="AF6" s="13"/>
      <c r="AG6" s="13"/>
      <c r="AH6" s="13">
        <v>2017.0</v>
      </c>
      <c r="AI6" s="13"/>
      <c r="AJ6" s="13"/>
      <c r="AK6" s="13">
        <v>2015.0</v>
      </c>
      <c r="AL6" s="13"/>
      <c r="AM6" s="13"/>
      <c r="AN6" s="13"/>
      <c r="AO6" s="13"/>
      <c r="AP6" s="13"/>
      <c r="AQ6" s="125">
        <f t="shared" si="1"/>
        <v>7</v>
      </c>
      <c r="AR6" s="128"/>
    </row>
    <row r="7" ht="18.0" customHeight="1">
      <c r="A7" s="127">
        <v>6.0</v>
      </c>
      <c r="B7" s="9" t="s">
        <v>223</v>
      </c>
      <c r="C7" s="53" t="s">
        <v>48</v>
      </c>
      <c r="D7" s="33" t="s">
        <v>49</v>
      </c>
      <c r="E7" s="110"/>
      <c r="F7" s="13"/>
      <c r="G7" s="13"/>
      <c r="H7" s="13"/>
      <c r="I7" s="13"/>
      <c r="J7" s="13"/>
      <c r="K7" s="130"/>
      <c r="L7" s="130"/>
      <c r="M7" s="130"/>
      <c r="N7" s="130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25">
        <f t="shared" si="1"/>
        <v>0</v>
      </c>
      <c r="AR7" s="128"/>
    </row>
    <row r="8" ht="18.0" customHeight="1">
      <c r="A8" s="127">
        <v>7.0</v>
      </c>
      <c r="B8" s="131" t="s">
        <v>225</v>
      </c>
      <c r="C8" s="53" t="s">
        <v>48</v>
      </c>
      <c r="D8" s="33" t="s">
        <v>49</v>
      </c>
      <c r="E8" s="110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25">
        <f t="shared" ref="AR8:AR9" si="2">COUNTA(F8:AQ8)</f>
        <v>0</v>
      </c>
    </row>
    <row r="9" ht="18.0" customHeight="1">
      <c r="A9" s="127">
        <v>8.0</v>
      </c>
      <c r="B9" s="131" t="s">
        <v>220</v>
      </c>
      <c r="C9" s="53" t="s">
        <v>48</v>
      </c>
      <c r="D9" s="33" t="s">
        <v>49</v>
      </c>
      <c r="E9" s="110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>
        <v>2021.0</v>
      </c>
      <c r="AM9" s="13"/>
      <c r="AN9" s="13"/>
      <c r="AO9" s="13"/>
      <c r="AP9" s="13"/>
      <c r="AQ9" s="13"/>
      <c r="AR9" s="125">
        <f t="shared" si="2"/>
        <v>1</v>
      </c>
    </row>
    <row r="10" ht="18.0" customHeight="1">
      <c r="A10" s="127">
        <v>9.0</v>
      </c>
      <c r="B10" s="9" t="s">
        <v>210</v>
      </c>
      <c r="C10" s="53" t="s">
        <v>48</v>
      </c>
      <c r="D10" s="33" t="s">
        <v>49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25">
        <f t="shared" ref="AR10:AR14" si="3">COUNTA(E10:AQ10)</f>
        <v>0</v>
      </c>
    </row>
    <row r="11" ht="18.0" customHeight="1">
      <c r="A11" s="127">
        <v>10.0</v>
      </c>
      <c r="B11" s="9" t="s">
        <v>208</v>
      </c>
      <c r="C11" s="53" t="s">
        <v>48</v>
      </c>
      <c r="D11" s="33" t="s">
        <v>49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25">
        <f t="shared" si="3"/>
        <v>0</v>
      </c>
    </row>
    <row r="12" ht="18.0" customHeight="1">
      <c r="A12" s="127">
        <v>11.0</v>
      </c>
      <c r="B12" s="9" t="s">
        <v>221</v>
      </c>
      <c r="C12" s="53" t="s">
        <v>48</v>
      </c>
      <c r="D12" s="33" t="s">
        <v>49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25">
        <f t="shared" si="3"/>
        <v>0</v>
      </c>
    </row>
    <row r="13" ht="18.0" customHeight="1">
      <c r="A13" s="127">
        <v>12.0</v>
      </c>
      <c r="B13" s="9" t="s">
        <v>200</v>
      </c>
      <c r="C13" s="53" t="s">
        <v>48</v>
      </c>
      <c r="D13" s="33" t="s">
        <v>49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>
        <v>2015.0</v>
      </c>
      <c r="AL13" s="13"/>
      <c r="AM13" s="13"/>
      <c r="AN13" s="13"/>
      <c r="AO13" s="13"/>
      <c r="AP13" s="13"/>
      <c r="AQ13" s="13"/>
      <c r="AR13" s="125">
        <f t="shared" si="3"/>
        <v>1</v>
      </c>
    </row>
    <row r="14" ht="30.0" customHeight="1">
      <c r="A14" s="127">
        <v>13.0</v>
      </c>
      <c r="B14" s="41" t="s">
        <v>194</v>
      </c>
      <c r="C14" s="53" t="s">
        <v>228</v>
      </c>
      <c r="D14" s="129" t="s">
        <v>49</v>
      </c>
      <c r="E14" s="13"/>
      <c r="F14" s="13"/>
      <c r="G14" s="13"/>
      <c r="H14" s="13"/>
      <c r="I14" s="13">
        <v>2017.0</v>
      </c>
      <c r="J14" s="13"/>
      <c r="K14" s="13"/>
      <c r="L14" s="13"/>
      <c r="M14" s="13"/>
      <c r="N14" s="13"/>
      <c r="O14" s="13"/>
      <c r="P14" s="13"/>
      <c r="Q14" s="13">
        <v>2014.0</v>
      </c>
      <c r="R14" s="13">
        <v>2013.0</v>
      </c>
      <c r="S14" s="13">
        <v>2016.0</v>
      </c>
      <c r="T14" s="13"/>
      <c r="U14" s="13"/>
      <c r="V14" s="13"/>
      <c r="W14" s="13"/>
      <c r="X14" s="13"/>
      <c r="Y14" s="13"/>
      <c r="Z14" s="13">
        <v>2017.0</v>
      </c>
      <c r="AA14" s="13"/>
      <c r="AB14" s="13">
        <v>2012.0</v>
      </c>
      <c r="AC14" s="13">
        <v>2017.0</v>
      </c>
      <c r="AD14" s="13"/>
      <c r="AE14" s="13">
        <v>2015.0</v>
      </c>
      <c r="AF14" s="13" t="s">
        <v>229</v>
      </c>
      <c r="AG14" s="13" t="s">
        <v>230</v>
      </c>
      <c r="AH14" s="13"/>
      <c r="AI14" s="13"/>
      <c r="AJ14" s="13">
        <v>2015.0</v>
      </c>
      <c r="AK14" s="13">
        <v>2015.0</v>
      </c>
      <c r="AL14" s="13"/>
      <c r="AM14" s="13"/>
      <c r="AN14" s="13"/>
      <c r="AO14" s="13"/>
      <c r="AP14" s="13" t="s">
        <v>231</v>
      </c>
      <c r="AQ14" s="13"/>
      <c r="AR14" s="125">
        <f t="shared" si="3"/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2017-08-23T17:00:45Z</dcterms:created>
  <dc:creator>Federico</dc:creator>
</cp:coreProperties>
</file>